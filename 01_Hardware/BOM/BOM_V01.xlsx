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tomatic2000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<sst xmlns="http://schemas.openxmlformats.org/spreadsheetml/2006/main" count="313" uniqueCount="252">
  <si>
    <t xml:space="preserve">Reference</t>
  </si>
  <si>
    <t xml:space="preserve">Qty</t>
  </si>
  <si>
    <t xml:space="preserve">PCB Quantity</t>
  </si>
  <si>
    <t xml:space="preserve">Ordered</t>
  </si>
  <si>
    <t xml:space="preserve">Description</t>
  </si>
  <si>
    <t xml:space="preserve">Value</t>
  </si>
  <si>
    <t xml:space="preserve">Footprint</t>
  </si>
  <si>
    <t xml:space="preserve">Manufacturer</t>
  </si>
  <si>
    <t xml:space="preserve">Manufacturer Part Number</t>
  </si>
  <si>
    <t xml:space="preserve">Part Link</t>
  </si>
  <si>
    <t xml:space="preserve">BT101</t>
  </si>
  <si>
    <t xml:space="preserve">Battery_Cell</t>
  </si>
  <si>
    <t xml:space="preserve">Battery:BatteryHolder_MYOUNG_BS-07-A1BJ001_CR2032</t>
  </si>
  <si>
    <t xml:space="preserve">C101,C106,C111</t>
  </si>
  <si>
    <t xml:space="preserve">1uF</t>
  </si>
  <si>
    <t xml:space="preserve">Capacitor_SMD:C_0402_1005Metric</t>
  </si>
  <si>
    <t xml:space="preserve">Murata</t>
  </si>
  <si>
    <t xml:space="preserve">GXT155R61A105KE01D </t>
  </si>
  <si>
    <t xml:space="preserve">https://www.mouser.it/ProductDetail/Murata-Electronics/GXT155R61A105KE01D?qs=d0WKAl%252BL4KbBSua2LZN9Hg%3D%3D</t>
  </si>
  <si>
    <t xml:space="preserve">C102</t>
  </si>
  <si>
    <t xml:space="preserve">100nF tantulum → 1uF</t>
  </si>
  <si>
    <t xml:space="preserve">Capacitor_SMD:C_1206_3216Metric</t>
  </si>
  <si>
    <t xml:space="preserve">Yageo</t>
  </si>
  <si>
    <t xml:space="preserve">T491A105K025AT7280 </t>
  </si>
  <si>
    <t xml:space="preserve">https://www.mouser.it/ProductDetail/KEMET/T491A105K025AT7280?qs=WOKUqv%2F%2FT%2FZznX4bxHjQrQ%3D%3D</t>
  </si>
  <si>
    <t xml:space="preserve">C103</t>
  </si>
  <si>
    <t xml:space="preserve">10uF tantulum</t>
  </si>
  <si>
    <t xml:space="preserve">T491A106K016AT7280 </t>
  </si>
  <si>
    <t xml:space="preserve">https://www.mouser.it/ProductDetail/KEMET/T491A106K016AT7280?qs=WOKUqv%2F%2FT%2FYL9FI%252BTlhIbw%3D%3D</t>
  </si>
  <si>
    <t xml:space="preserve">C104,C134</t>
  </si>
  <si>
    <t xml:space="preserve">22uF</t>
  </si>
  <si>
    <t xml:space="preserve">Capacitor_SMD:C_0603_1608Metric</t>
  </si>
  <si>
    <t xml:space="preserve">GRM188C61C226ME01D </t>
  </si>
  <si>
    <t xml:space="preserve">https://www.mouser.it/ProductDetail/Murata-Electronics/GRM188C61C226ME01D?qs=Z%252BL2brAPG1JSjw9hy2DXww%3D%3D</t>
  </si>
  <si>
    <t xml:space="preserve">C105,C113,C115,C116,C117,C118,C119,C122,C124,C129,C130,C132,C136,C138,C139,C140,C141,C142,C143,C145,C146,C147,C148</t>
  </si>
  <si>
    <t xml:space="preserve">100nF</t>
  </si>
  <si>
    <t xml:space="preserve">GCM155R71H104KE02D </t>
  </si>
  <si>
    <t xml:space="preserve">https://www.mouser.it/ProductDetail/Murata-Electronics/GCM155R71H104KE02D?qs=sGAEpiMZZMsh%252B1woXyUXjxDBwwEQMMyXidDog2%2F%2F4ho%3D</t>
  </si>
  <si>
    <t xml:space="preserve">C107,C108,C137,C144</t>
  </si>
  <si>
    <t xml:space="preserve">10uF</t>
  </si>
  <si>
    <t xml:space="preserve">GRT155R61A106ME13D </t>
  </si>
  <si>
    <t xml:space="preserve">https://www.mouser.it/ProductDetail/Murata-Electronics/GRT155R61A106ME13D?qs=xZFQr2mActfHaUwsWnk4EQ%3D%3D</t>
  </si>
  <si>
    <t xml:space="preserve">C109,C110,C123</t>
  </si>
  <si>
    <t xml:space="preserve">GRM188R61E106KA73D </t>
  </si>
  <si>
    <t xml:space="preserve">https://www.mouser.it/ProductDetail/Murata-Electronics/GRM188R61E106KA73D?qs=5aG0NVq1C4z8ebxPkQZf9A%3D%3D</t>
  </si>
  <si>
    <t xml:space="preserve">C112</t>
  </si>
  <si>
    <t xml:space="preserve">2.2uF</t>
  </si>
  <si>
    <t xml:space="preserve">GRM155C71A225KE11J </t>
  </si>
  <si>
    <t xml:space="preserve">https://www.mouser.it/ProductDetail/Murata-Electronics/GRM155C71A225KE11J?qs=hNud%2FORuBR2R6dsmg3BdAQ%3D%3D</t>
  </si>
  <si>
    <t xml:space="preserve">C114,C133</t>
  </si>
  <si>
    <t xml:space="preserve">GCM188D71H105KE36W </t>
  </si>
  <si>
    <t xml:space="preserve">https://www.mouser.it/ProductDetail/Murata-Electronics/GCM188D71H105KE36W?qs=Z%252BL2brAPG1IHvXCX%252BAgDig%3D%3D</t>
  </si>
  <si>
    <t xml:space="preserve">C120,C121</t>
  </si>
  <si>
    <t xml:space="preserve">47uF</t>
  </si>
  <si>
    <t xml:space="preserve">Capacitor_SMD:C_1206_1608Metric</t>
  </si>
  <si>
    <t xml:space="preserve">GRM31CR61C476ME44L </t>
  </si>
  <si>
    <t xml:space="preserve">https://www.mouser.it/ProductDetail/Murata-Electronics/GRM31CR61C476ME44L?qs=QzBtWTOodeXuG%2FGfulSygQ%3D%3D</t>
  </si>
  <si>
    <t xml:space="preserve">Capacitor_SMD:C_0805_1608Metric</t>
  </si>
  <si>
    <t xml:space="preserve">Kyocera AVX</t>
  </si>
  <si>
    <t xml:space="preserve">08054D226MAT2A </t>
  </si>
  <si>
    <t xml:space="preserve">https://www.mouser.it/ProductDetail/KYOCERA-AVX/08054D226MAT2A?qs=sGAEpiMZZMukHu%252BjC5l7YZjEw28TRo50h8cbvoIJpJk%3D</t>
  </si>
  <si>
    <t xml:space="preserve">C125</t>
  </si>
  <si>
    <t xml:space="preserve">58pF</t>
  </si>
  <si>
    <t xml:space="preserve">04025A560KAT2A </t>
  </si>
  <si>
    <t xml:space="preserve">https://www.mouser.it/ProductDetail/KYOCERA-AVX/04025A560KAT2A?qs=fSLU0bP6gkdlqpfkJNQhxA%3D%3D</t>
  </si>
  <si>
    <t xml:space="preserve">C126</t>
  </si>
  <si>
    <t xml:space="preserve">4.7nF</t>
  </si>
  <si>
    <t xml:space="preserve">GCM155R71H472KA37J </t>
  </si>
  <si>
    <t xml:space="preserve">https://www.mouser.it/ProductDetail/Murata-Electronics/GCM155R71H472KA37J?qs=N3Kl9KD794S9YoLWF080QQ%3D%3D</t>
  </si>
  <si>
    <t xml:space="preserve">C127</t>
  </si>
  <si>
    <t xml:space="preserve">GRM188C81C225KA12D </t>
  </si>
  <si>
    <t xml:space="preserve">https://www.mouser.it/ProductDetail/Murata-Electronics/GRM188C81C225KA12D?qs=sGAEpiMZZMsh%252B1woXyUXj3BT4WNaq0Mgw5BmdJ5qTas%3D</t>
  </si>
  <si>
    <t xml:space="preserve">C128,C131</t>
  </si>
  <si>
    <t xml:space="preserve">4.7uF</t>
  </si>
  <si>
    <t xml:space="preserve">GRM188R61E475KE11D </t>
  </si>
  <si>
    <t xml:space="preserve">https://www.mouser.it/ProductDetail/Murata-Electronics/GRM188R61E475KE11D?qs=eeBpzGFlv%252B9M0HqzMo%2FgYw%3D%3D</t>
  </si>
  <si>
    <t xml:space="preserve">C135</t>
  </si>
  <si>
    <t xml:space="preserve">Snubbing DNP</t>
  </si>
  <si>
    <t xml:space="preserve">D106</t>
  </si>
  <si>
    <t xml:space="preserve">1N4148W</t>
  </si>
  <si>
    <t xml:space="preserve">Diode_SMD:D_SOD-123</t>
  </si>
  <si>
    <t xml:space="preserve">Diotec Semiconductor</t>
  </si>
  <si>
    <t xml:space="preserve">1N4148W </t>
  </si>
  <si>
    <t xml:space="preserve">https://www.mouser.it/ProductDetail/Diotec-Semiconductor/1N4148W?qs=OlC7AqGiEDmsbkbAeXQtXg%3D%3D</t>
  </si>
  <si>
    <t xml:space="preserve">D107,D111,D112,D113,D114,D103,D104</t>
  </si>
  <si>
    <t xml:space="preserve">SML-P12U2TT86R</t>
  </si>
  <si>
    <t xml:space="preserve">LED_SMD:LED_0402_1005Metric</t>
  </si>
  <si>
    <t xml:space="preserve">ROHM Semiconductor</t>
  </si>
  <si>
    <t xml:space="preserve">SML-P12U2TT86R </t>
  </si>
  <si>
    <t xml:space="preserve">https://www.mouser.it/ProductDetail/ROHM-Semiconductor/SML-P12U2TT86R?qs=0TrvoxK2bUgYTYTagrT1Uw%3D%3D</t>
  </si>
  <si>
    <t xml:space="preserve">D108,D109,D110</t>
  </si>
  <si>
    <t xml:space="preserve">SS14M</t>
  </si>
  <si>
    <t xml:space="preserve">Custom_Global_Footprints:SS14M_Flyback_Diode</t>
  </si>
  <si>
    <t xml:space="preserve">Taiwan Semiconductor</t>
  </si>
  <si>
    <t xml:space="preserve">https://www.mouser.it/ProductDetail/Taiwan-Semiconductor/SS14M?qs=nOpR%2FfnPNovHKICoAPksYg%3D%3D</t>
  </si>
  <si>
    <t xml:space="preserve">J101</t>
  </si>
  <si>
    <t xml:space="preserve">Conn_02x05_Odd_Even</t>
  </si>
  <si>
    <t xml:space="preserve">Connector_PinHeader_1.27mm:PinHeader_2x05_P1.27mm_Vertical_SMD</t>
  </si>
  <si>
    <t xml:space="preserve">J102</t>
  </si>
  <si>
    <t xml:space="preserve">Conn_02x03_Odd_Even</t>
  </si>
  <si>
    <t xml:space="preserve">Connector_PinHeader_1.27mm:PinHeader_2x03_P1.27mm_Vertical_SMD</t>
  </si>
  <si>
    <t xml:space="preserve">J103</t>
  </si>
  <si>
    <t xml:space="preserve">USB_C_Receptacle_USB2.0_16P</t>
  </si>
  <si>
    <t xml:space="preserve">Connector_USB:USB_C_Receptacle_Palconn_UTC16-G</t>
  </si>
  <si>
    <t xml:space="preserve">Molex</t>
  </si>
  <si>
    <t xml:space="preserve">217179-0001</t>
  </si>
  <si>
    <t xml:space="preserve">https://www.mouser.it/ProductDetail/Molex/217179-0001?qs=DRkmTr78QAQqCH4BoIR1xg%3D%3D</t>
  </si>
  <si>
    <t xml:space="preserve">J105, J110,J116</t>
  </si>
  <si>
    <t xml:space="preserve">JST_B4B</t>
  </si>
  <si>
    <t xml:space="preserve">Connector_JST:JST_EH_B4B-EH-A_1x04_P2.50mm_Vertical</t>
  </si>
  <si>
    <t xml:space="preserve">J112,J113, J114, J106, J107, J108, J109, J111, J115, J117</t>
  </si>
  <si>
    <t xml:space="preserve">JST_B2B</t>
  </si>
  <si>
    <t xml:space="preserve">Connector_JST:JST_EH_B2B-EH-A_1x02_P2.50mm_Vertical</t>
  </si>
  <si>
    <t xml:space="preserve">L103</t>
  </si>
  <si>
    <t xml:space="preserve">4.7uH (SPM12565VT-4R7M-D)</t>
  </si>
  <si>
    <t xml:space="preserve">Custom_Global_Footprints:SPM12565VT-4R7M</t>
  </si>
  <si>
    <t xml:space="preserve">TDK</t>
  </si>
  <si>
    <t xml:space="preserve">SPM12565VT-4R7M-D </t>
  </si>
  <si>
    <t xml:space="preserve">https://www.mouser.it/ProductDetail/TDK/SPM12565VT-4R7M-D?qs=BJlw7L4Cy79xyqq2p0SFzw%3D%3D</t>
  </si>
  <si>
    <t xml:space="preserve">Q101,Q102</t>
  </si>
  <si>
    <t xml:space="preserve">.</t>
  </si>
  <si>
    <t xml:space="preserve">STN3NF06L </t>
  </si>
  <si>
    <t xml:space="preserve">Package_TO_SOT_SMD:SOT-223</t>
  </si>
  <si>
    <t xml:space="preserve">STMicroelectronics</t>
  </si>
  <si>
    <t xml:space="preserve">https://www.mouser.it/ProductDetail/STMicroelectronics/STN3NF06L?qs=VREXnN%2FAp%252BtujmZVCVKGgA%3D%3D</t>
  </si>
  <si>
    <t xml:space="preserve">Q104,Q106,Q107,Q109</t>
  </si>
  <si>
    <t xml:space="preserve">NVTA7002NT1G</t>
  </si>
  <si>
    <t xml:space="preserve">Package_TO_SOT_SMD:SOT-323_SC-70</t>
  </si>
  <si>
    <t xml:space="preserve">Onsemi</t>
  </si>
  <si>
    <t xml:space="preserve">NVTA7002NT1G </t>
  </si>
  <si>
    <t xml:space="preserve">https://www.mouser.it/ProductDetail/onsemi/NVTA7002NT1G?qs=3PKVEWFFm28yzidDkWGumQ%3D%3D</t>
  </si>
  <si>
    <t xml:space="preserve">Q105,Q108,Q110</t>
  </si>
  <si>
    <t xml:space="preserve">RU1E002SPTCL</t>
  </si>
  <si>
    <t xml:space="preserve">RU1E002SPTCL </t>
  </si>
  <si>
    <t xml:space="preserve">https://www.mouser.it/ProductDetail/ROHM-Semiconductor/RU1E002SPTCL?qs=npTsUczJOtMbsjHtQh7P9Q%3D%3D</t>
  </si>
  <si>
    <t xml:space="preserve">Q111,Q112</t>
  </si>
  <si>
    <t xml:space="preserve">DTC143Z</t>
  </si>
  <si>
    <t xml:space="preserve">Package_TO_SOT_SMD:SOT-23-3</t>
  </si>
  <si>
    <t xml:space="preserve">Nexperia</t>
  </si>
  <si>
    <t xml:space="preserve">PDTC143ZT,215 </t>
  </si>
  <si>
    <t xml:space="preserve">https://www.mouser.it/ProductDetail/Nexperia/PDTC143ZT215?qs=LOCUfHb8d9t26raFhON97w%3D%3D</t>
  </si>
  <si>
    <t xml:space="preserve">Q113</t>
  </si>
  <si>
    <t xml:space="preserve">CSD17313Q2</t>
  </si>
  <si>
    <t xml:space="preserve">Package_SON:Texas_DQK</t>
  </si>
  <si>
    <t xml:space="preserve">Texas Instruments</t>
  </si>
  <si>
    <t xml:space="preserve">CSD17313Q2 </t>
  </si>
  <si>
    <t xml:space="preserve">https://www.mouser.it/ProductDetail/Texas-Instruments/CSD17313Q2?qs=D37NSXwnznI3%252B6fs3vG7Gg%3D%3D</t>
  </si>
  <si>
    <t xml:space="preserve">R102,R105,R107,R125,R127,R131,R141,R156</t>
  </si>
  <si>
    <t xml:space="preserve">470R</t>
  </si>
  <si>
    <t xml:space="preserve">Resistor_SMD:R_0402_1005Metric</t>
  </si>
  <si>
    <t xml:space="preserve">Vishay</t>
  </si>
  <si>
    <t xml:space="preserve">CRCW0402470RFKEDHP </t>
  </si>
  <si>
    <t xml:space="preserve">https://www.mouser.it/ProductDetail/Vishay/CRCW0402470RFKEDHP?qs=sGAEpiMZZMukHu%252BjC5l7YTYXi3BnBKStQ7j7WXEPhP0%3D</t>
  </si>
  <si>
    <t xml:space="preserve">R103,R104,R106,R110,R124,R126,R128,R129,R130,R132,R133,R140,R142,R143,R154</t>
  </si>
  <si>
    <t xml:space="preserve">10K</t>
  </si>
  <si>
    <t xml:space="preserve">CRCW040210K0FKEDHP </t>
  </si>
  <si>
    <t xml:space="preserve">https://www.mouser.it/ProductDetail/Vishay/CRCW040210K0FKEDHP?qs=FlFvgi4rxBxmIiaeyFjrkA%3D%3D</t>
  </si>
  <si>
    <t xml:space="preserve">R108</t>
  </si>
  <si>
    <t xml:space="preserve">158K</t>
  </si>
  <si>
    <t xml:space="preserve">RE0402BRE07158KL </t>
  </si>
  <si>
    <t xml:space="preserve">https://www.mouser.it/ProductDetail/YAGEO/RE0402BRE07158KL?qs=sGAEpiMZZMtlubZbdhIBIIzXXd8RXMQ1aPdJEKfJMGg%3D</t>
  </si>
  <si>
    <t xml:space="preserve">R109</t>
  </si>
  <si>
    <t xml:space="preserve">14K3</t>
  </si>
  <si>
    <t xml:space="preserve">AC0402FR-0714K3L </t>
  </si>
  <si>
    <t xml:space="preserve">https://www.mouser.it/ProductDetail/YAGEO/AC0402FR-0714K3L?qs=sGAEpiMZZMtlubZbdhIBIK4ZiD9DMvaKbcYJGfarTRg%3D</t>
  </si>
  <si>
    <t xml:space="preserve">R111</t>
  </si>
  <si>
    <t xml:space="preserve">40K2</t>
  </si>
  <si>
    <t xml:space="preserve">Bourns</t>
  </si>
  <si>
    <t xml:space="preserve">CR0402-FX-4022GLF </t>
  </si>
  <si>
    <t xml:space="preserve">https://www.mouser.it/ProductDetail/Bourns/CR0402-FX-4022GLF?qs=sGAEpiMZZMukHu%252BjC5l7YVo4iuUFSP1aNNnBzTsXRVk%3D</t>
  </si>
  <si>
    <t xml:space="preserve">R112,R119,R120,R123,R139,R148,R149,R150,R160,R161,R162,R163</t>
  </si>
  <si>
    <t xml:space="preserve">1K</t>
  </si>
  <si>
    <t xml:space="preserve">MCS04020C1001FE000 </t>
  </si>
  <si>
    <t xml:space="preserve">https://www.mouser.it/ProductDetail/Vishay-Beyschlag/MCS04020C1001FE000?qs=7ZE6F4QMOBb1MbBpUQXFCA%3D%3D</t>
  </si>
  <si>
    <t xml:space="preserve">R113</t>
  </si>
  <si>
    <t xml:space="preserve">22K1</t>
  </si>
  <si>
    <t xml:space="preserve">CR0402-FX-2212GLF </t>
  </si>
  <si>
    <t xml:space="preserve">https://www.mouser.it/ProductDetail/Bourns/CR0402-FX-2212GLF?qs=sGAEpiMZZMukHu%252BjC5l7YTNjQwGby5PvytmGPD25ppw%3D</t>
  </si>
  <si>
    <t xml:space="preserve">R114,R115,R134,R135,R136,R137,R138,R146,R147,R164</t>
  </si>
  <si>
    <t xml:space="preserve">0R</t>
  </si>
  <si>
    <t xml:space="preserve">CRCW04020000Z0EDC </t>
  </si>
  <si>
    <t xml:space="preserve">https://www.mouser.it/ProductDetail/Vishay/CRCW04020000Z0EDC?qs=sGAEpiMZZMukHu%252BjC5l7Yc9NSHzGyJyz2gIs7IV1iJM%3D</t>
  </si>
  <si>
    <t xml:space="preserve">R116,R118,R159</t>
  </si>
  <si>
    <t xml:space="preserve">5K1</t>
  </si>
  <si>
    <t xml:space="preserve">MCS04020D5101BE000 </t>
  </si>
  <si>
    <t xml:space="preserve">https://www.mouser.it/ProductDetail/Vishay-Beyschlag/MCS04020D5101BE000?qs=sGAEpiMZZMukHu%252BjC5l7YT%2FM%252BmyCc%2FqmpqXJ9D38o0o%3D</t>
  </si>
  <si>
    <t xml:space="preserve">R117</t>
  </si>
  <si>
    <t xml:space="preserve">47K5</t>
  </si>
  <si>
    <t xml:space="preserve">CRCW040247K5FKED </t>
  </si>
  <si>
    <t xml:space="preserve">https://www.mouser.it/ProductDetail/Vishay/CRCW040247K5FKED?qs=sGAEpiMZZMtlubZbdhIBIPs%252BiE%2F4M15xDan5FFmucgw%3D</t>
  </si>
  <si>
    <t xml:space="preserve">R121</t>
  </si>
  <si>
    <t xml:space="preserve">R122</t>
  </si>
  <si>
    <t xml:space="preserve">220R</t>
  </si>
  <si>
    <t xml:space="preserve">RCS0402220RFKED </t>
  </si>
  <si>
    <t xml:space="preserve">https://www.mouser.it/ProductDetail/Vishay-Draloric/RCS0402220RFKED?qs=6AVTNucw1PVOh9H%252B27SEQg%3D%3D</t>
  </si>
  <si>
    <t xml:space="preserve">R144,R145,R151,R152,R153</t>
  </si>
  <si>
    <t xml:space="preserve">4K7</t>
  </si>
  <si>
    <t xml:space="preserve">RCS04024K70FKED </t>
  </si>
  <si>
    <t xml:space="preserve">https://www.mouser.it/ProductDetail/Vishay-Draloric/RCS04024K70FKED?qs=NKmfXavxMaw%252Bu6VUO3JuMQ%3D%3D</t>
  </si>
  <si>
    <t xml:space="preserve">R155,R157,R158</t>
  </si>
  <si>
    <t xml:space="preserve">12K</t>
  </si>
  <si>
    <t xml:space="preserve">RCS040212K0FKED </t>
  </si>
  <si>
    <t xml:space="preserve">https://www.mouser.it/ProductDetail/Vishay-Draloric/RCS040212K0FKED?qs=6AVTNucw1PXgGfxUAevT3w%3D%3D</t>
  </si>
  <si>
    <t xml:space="preserve">SW102,SW103</t>
  </si>
  <si>
    <t xml:space="preserve">SW_Push</t>
  </si>
  <si>
    <t xml:space="preserve">Button_Switch_SMD:SW_SPST_PTS645</t>
  </si>
  <si>
    <t xml:space="preserve">Same Sky</t>
  </si>
  <si>
    <t xml:space="preserve">TS04-66-85-BK-160-SMT </t>
  </si>
  <si>
    <t xml:space="preserve">https://www.mouser.it/ProductDetail/Same-Sky/TS04-66-85-BK-160-SMT?qs=A6eO%252BMLsxmToG%252Bwo%2FHLb%2Fg%3D%3D</t>
  </si>
  <si>
    <t xml:space="preserve">U101</t>
  </si>
  <si>
    <t xml:space="preserve">XC6220B331MR</t>
  </si>
  <si>
    <t xml:space="preserve">Package_TO_SOT_SMD:SOT-23-5</t>
  </si>
  <si>
    <t xml:space="preserve">Torex Semiconductor</t>
  </si>
  <si>
    <t xml:space="preserve">XC6220B331MR-G </t>
  </si>
  <si>
    <t xml:space="preserve">https://www.mouser.it/ProductDetail/Torex-Semiconductor/XC6220B331MR-G?qs=AsjdqWjXhJ8lRh0WBUyqoQ%3D%3D</t>
  </si>
  <si>
    <t xml:space="preserve">U102</t>
  </si>
  <si>
    <t xml:space="preserve">nPM1300</t>
  </si>
  <si>
    <t xml:space="preserve">Package_DFN_QFN:QFN-32-1EP_5x5mm_P0.5mm_EP3.6x3.6mm_ThermalVias</t>
  </si>
  <si>
    <t xml:space="preserve">Nordic Semiconductor</t>
  </si>
  <si>
    <t xml:space="preserve">nPM1300-QEAA-R7 </t>
  </si>
  <si>
    <t xml:space="preserve">https://www.mouser.it/ProductDetail/Nordic-Semiconductor/nPM1300-QEAA-R7?qs=3pZoU%2F6IRTj0hxAp51B2zA%3D%3D</t>
  </si>
  <si>
    <t xml:space="preserve">U103</t>
  </si>
  <si>
    <t xml:space="preserve">ESP32-WROOM-32E</t>
  </si>
  <si>
    <t xml:space="preserve">RF_Module:ESP32-WROOM-32E</t>
  </si>
  <si>
    <t xml:space="preserve">Espressif Systems</t>
  </si>
  <si>
    <t xml:space="preserve">ESP32-WROOM-32E-N8</t>
  </si>
  <si>
    <t xml:space="preserve">https://www.mouser.it/ProductDetail/Espressif-Systems/ESP32-WROOM-32E-N8?qs=sGAEpiMZZMu3sxpa5v1qrkR%2F6t0IkXq84gmxxC8jME0%3D</t>
  </si>
  <si>
    <t xml:space="preserve">U104</t>
  </si>
  <si>
    <t xml:space="preserve">TPS61287</t>
  </si>
  <si>
    <t xml:space="preserve">Custom_Global_Footprints:RZP0014A-MFG</t>
  </si>
  <si>
    <t xml:space="preserve">TPS61287RZPR </t>
  </si>
  <si>
    <t xml:space="preserve">https://www.mouser.it/ProductDetail/Texas-Instruments/TPS61287RZPR?qs=a2MtRaTmNOQz8omVr0kq2w%3D%3D</t>
  </si>
  <si>
    <t xml:space="preserve">U105</t>
  </si>
  <si>
    <t xml:space="preserve">USBLC6-2P6</t>
  </si>
  <si>
    <t xml:space="preserve">Package_TO_SOT_SMD:SOT-666</t>
  </si>
  <si>
    <t xml:space="preserve">USBLC6-2P6 </t>
  </si>
  <si>
    <t xml:space="preserve">https://www.mouser.it/ProductDetail/STMicroelectronics/USBLC6-2P6?qs=6ARB0lp6jlViGcbUSvj1Mw%3D%3D</t>
  </si>
  <si>
    <t xml:space="preserve">U106</t>
  </si>
  <si>
    <t xml:space="preserve">CP2102N-A02-GQFN24</t>
  </si>
  <si>
    <t xml:space="preserve">Package_DFN_QFN:QFN-24-1EP_4x4mm_P0.5mm_EP2.7x2.6mm_ThermalVias</t>
  </si>
  <si>
    <t xml:space="preserve">Silicon Labs</t>
  </si>
  <si>
    <t xml:space="preserve">CP2102N-A02-GQFN24R </t>
  </si>
  <si>
    <t xml:space="preserve">https://www.mouser.it/ProductDetail/Silicon-Labs/CP2102N-A02-GQFN24R?qs=u16ybLDytRaIVBf0X4zL0g%3D%3D</t>
  </si>
  <si>
    <t xml:space="preserve">U107</t>
  </si>
  <si>
    <t xml:space="preserve">DS3231M</t>
  </si>
  <si>
    <t xml:space="preserve">Package_SO:SOIC-16W_7.5x10.3mm_P1.27mm</t>
  </si>
  <si>
    <t xml:space="preserve">GREATZT</t>
  </si>
  <si>
    <t xml:space="preserve">DS3231SN Module</t>
  </si>
  <si>
    <t xml:space="preserve">https://it.aliexpress.com/item/1005005216959684.html?src=google&amp;pdp_npi=4%40dis!EUR!1.44!1.27!!!!!%40!12000043066499758!ppc!!!&amp;src=google&amp;albch=shopping&amp;acnt=742-864-1166&amp;isdl=y&amp;slnk=&amp;plac=&amp;mtctp=&amp;albbt=Google_7_shopping&amp;aff_platform=google&amp;aff_short_key=UneMJZVf&amp;gclsrc=aw.ds&amp;&amp;albagn=888888&amp;&amp;ds_e_adid=&amp;ds_e_matchtype=&amp;ds_e_device=c&amp;ds_e_network=x&amp;ds_e_product_group_id=&amp;ds_e_product_id=it1005005216959684&amp;ds_e_product_merchant_id=108907370&amp;ds_e_product_country=IT&amp;ds_e_product_language=it&amp;ds_e_product_channel=online&amp;ds_e_product_store_id=&amp;ds_url_v=2&amp;albcp=22261776456&amp;albag=&amp;isSmbAutoCall=false&amp;needSmbHouyi=false&amp;gad_source=1&amp;gad_campaignid=22268279741&amp;gbraid=0AAAAA99aYpej-BxJhV8WoNGYO72CXxH7y&amp;gclid=Cj0KCQjwjo7DBhCrARIsACWauSnWFZE5eyCTrSFTbSIGy8ULqK3C_b1fgm3vYGpZKy2E9YlLrZcw8DYaAnGXEALw_wcB</t>
  </si>
  <si>
    <t xml:space="preserve">U108</t>
  </si>
  <si>
    <t xml:space="preserve">AT24CS01-SSHM</t>
  </si>
  <si>
    <t xml:space="preserve">Package_SO:SOIC-8_3.9x4.9mm_P1.27mm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</si>
</sst>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A933"/>
        <bgColor rgb="FF008000"/>
      </patternFill>
    </fill>
    <fill>
      <patternFill patternType="solid">
        <fgColor rgb="FFB4C7DC"/>
        <bgColor rgb="FFCCCCFF"/>
      </patternFill>
    </fill>
    <fill>
      <patternFill patternType="solid">
        <fgColor rgb="FFFF8000"/>
        <bgColor rgb="FFFF66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8000"/>
      <rgbColor rgb="FFFF6600"/>
      <rgbColor rgb="FF666699"/>
      <rgbColor rgb="FF969696"/>
      <rgbColor rgb="FF003366"/>
      <rgbColor rgb="FF00A933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mouser.it/ProductDetail/KEMET/T491A106K016AT7280?qs=WOKUqv%2F%2FT%2FYL9FI%252BTlhIbw%3D%3D" TargetMode="External"/><Relationship Id="rId2" Type="http://schemas.openxmlformats.org/officeDocument/2006/relationships/hyperlink" Target="https://www.mouser.it/ProductDetail/Espressif-Systems/ESP32-WROOM-32E-N8?qs=sGAEpiMZZMu3sxpa5v1qrkR%2F6t0IkXq84gmxxC8jME0%3D" TargetMode="External"/><Relationship Id="rId3" Type="http://schemas.openxmlformats.org/officeDocument/2006/relationships/hyperlink" Target="https://www.mouser.it/ProductDetail/STMicroelectronics/USBLC6-2P6?qs=6ARB0lp6jlViGcbUSvj1Mw%3D%3D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34.92"/>
    <col collapsed="false" customWidth="true" hidden="false" outlineLevel="0" max="2" min="2" style="1" width="4.48"/>
    <col collapsed="false" customWidth="true" hidden="false" outlineLevel="0" max="3" min="3" style="1" width="7.5"/>
    <col collapsed="false" customWidth="true" hidden="false" outlineLevel="0" max="4" min="4" style="1" width="11.26"/>
    <col collapsed="false" customWidth="true" hidden="false" outlineLevel="0" max="5" min="5" style="1" width="14.88"/>
    <col collapsed="false" customWidth="true" hidden="false" outlineLevel="0" max="6" min="6" style="1" width="28.98"/>
    <col collapsed="false" customWidth="true" hidden="false" outlineLevel="0" max="7" min="7" style="1" width="56.34"/>
    <col collapsed="false" customWidth="true" hidden="false" outlineLevel="0" max="8" min="8" style="1" width="20.85"/>
    <col collapsed="false" customWidth="true" hidden="false" outlineLevel="0" max="9" min="9" style="1" width="24.9"/>
    <col collapsed="false" customWidth="true" hidden="false" outlineLevel="0" max="10" min="10" style="1" width="61.4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2.8" hidden="false" customHeight="false" outlineLevel="0" collapsed="false">
      <c r="A2" s="2" t="s">
        <v>10</v>
      </c>
      <c r="B2" s="2" t="n">
        <v>1</v>
      </c>
      <c r="C2" s="2" t="n">
        <f aca="false">B2*5</f>
        <v>5</v>
      </c>
      <c r="D2" s="2"/>
      <c r="E2" s="2"/>
      <c r="F2" s="2" t="s">
        <v>11</v>
      </c>
      <c r="G2" s="2" t="s">
        <v>12</v>
      </c>
    </row>
    <row r="3" customFormat="false" ht="12.8" hidden="false" customHeight="false" outlineLevel="0" collapsed="false">
      <c r="A3" s="1" t="s">
        <v>13</v>
      </c>
      <c r="B3" s="1" t="n">
        <v>3</v>
      </c>
      <c r="C3" s="3" t="n">
        <f aca="false">B3*5</f>
        <v>15</v>
      </c>
      <c r="D3" s="1" t="n">
        <v>100</v>
      </c>
      <c r="F3" s="1" t="s">
        <v>14</v>
      </c>
      <c r="G3" s="1" t="s">
        <v>15</v>
      </c>
      <c r="H3" s="1" t="s">
        <v>16</v>
      </c>
      <c r="I3" s="4" t="s">
        <v>17</v>
      </c>
      <c r="J3" s="1" t="s">
        <v>18</v>
      </c>
    </row>
    <row r="4" customFormat="false" ht="12.8" hidden="false" customHeight="false" outlineLevel="0" collapsed="false">
      <c r="A4" s="1" t="s">
        <v>19</v>
      </c>
      <c r="B4" s="1" t="n">
        <v>1</v>
      </c>
      <c r="C4" s="3" t="n">
        <f aca="false">B4*5</f>
        <v>5</v>
      </c>
      <c r="D4" s="1" t="n">
        <v>10</v>
      </c>
      <c r="F4" s="1" t="s">
        <v>20</v>
      </c>
      <c r="G4" s="1" t="s">
        <v>21</v>
      </c>
      <c r="H4" s="1" t="s">
        <v>22</v>
      </c>
      <c r="I4" s="4" t="s">
        <v>23</v>
      </c>
      <c r="J4" s="1" t="s">
        <v>24</v>
      </c>
    </row>
    <row r="5" customFormat="false" ht="12.8" hidden="false" customHeight="false" outlineLevel="0" collapsed="false">
      <c r="A5" s="1" t="s">
        <v>25</v>
      </c>
      <c r="B5" s="1" t="n">
        <v>1</v>
      </c>
      <c r="C5" s="3" t="n">
        <f aca="false">B5*5</f>
        <v>5</v>
      </c>
      <c r="D5" s="1" t="n">
        <v>6</v>
      </c>
      <c r="F5" s="5" t="s">
        <v>26</v>
      </c>
      <c r="G5" s="1" t="s">
        <v>21</v>
      </c>
      <c r="H5" s="1" t="s">
        <v>22</v>
      </c>
      <c r="I5" s="4" t="s">
        <v>27</v>
      </c>
      <c r="J5" s="6" t="s">
        <v>28</v>
      </c>
    </row>
    <row r="6" customFormat="false" ht="12.8" hidden="false" customHeight="false" outlineLevel="0" collapsed="false">
      <c r="A6" s="1" t="s">
        <v>29</v>
      </c>
      <c r="B6" s="1" t="n">
        <v>2</v>
      </c>
      <c r="C6" s="3" t="n">
        <f aca="false">B6*5</f>
        <v>10</v>
      </c>
      <c r="D6" s="1" t="n">
        <v>12</v>
      </c>
      <c r="F6" s="1" t="s">
        <v>30</v>
      </c>
      <c r="G6" s="1" t="s">
        <v>31</v>
      </c>
      <c r="H6" s="1" t="s">
        <v>16</v>
      </c>
      <c r="I6" s="4" t="s">
        <v>32</v>
      </c>
      <c r="J6" s="1" t="s">
        <v>33</v>
      </c>
    </row>
    <row r="7" customFormat="false" ht="12.8" hidden="false" customHeight="false" outlineLevel="0" collapsed="false">
      <c r="A7" s="1" t="s">
        <v>34</v>
      </c>
      <c r="B7" s="1" t="n">
        <v>23</v>
      </c>
      <c r="C7" s="3" t="n">
        <f aca="false">B7*5</f>
        <v>115</v>
      </c>
      <c r="D7" s="1" t="n">
        <v>220</v>
      </c>
      <c r="F7" s="1" t="s">
        <v>35</v>
      </c>
      <c r="G7" s="1" t="s">
        <v>15</v>
      </c>
      <c r="H7" s="1" t="s">
        <v>16</v>
      </c>
      <c r="I7" s="4" t="s">
        <v>36</v>
      </c>
      <c r="J7" s="1" t="s">
        <v>37</v>
      </c>
    </row>
    <row r="8" customFormat="false" ht="12.8" hidden="false" customHeight="false" outlineLevel="0" collapsed="false">
      <c r="A8" s="1" t="s">
        <v>38</v>
      </c>
      <c r="B8" s="1" t="n">
        <v>4</v>
      </c>
      <c r="C8" s="3" t="n">
        <f aca="false">B8*5</f>
        <v>20</v>
      </c>
      <c r="D8" s="1" t="n">
        <v>22</v>
      </c>
      <c r="F8" s="1" t="s">
        <v>39</v>
      </c>
      <c r="G8" s="1" t="s">
        <v>15</v>
      </c>
      <c r="H8" s="1" t="s">
        <v>16</v>
      </c>
      <c r="I8" s="4" t="s">
        <v>40</v>
      </c>
      <c r="J8" s="1" t="s">
        <v>41</v>
      </c>
    </row>
    <row r="9" customFormat="false" ht="12.8" hidden="false" customHeight="false" outlineLevel="0" collapsed="false">
      <c r="A9" s="1" t="s">
        <v>42</v>
      </c>
      <c r="B9" s="1" t="n">
        <v>3</v>
      </c>
      <c r="C9" s="3" t="n">
        <f aca="false">B9*5</f>
        <v>15</v>
      </c>
      <c r="D9" s="1" t="n">
        <v>20</v>
      </c>
      <c r="F9" s="1" t="s">
        <v>39</v>
      </c>
      <c r="G9" s="1" t="s">
        <v>31</v>
      </c>
      <c r="H9" s="1" t="s">
        <v>16</v>
      </c>
      <c r="I9" s="4" t="s">
        <v>43</v>
      </c>
      <c r="J9" s="1" t="s">
        <v>44</v>
      </c>
    </row>
    <row r="10" customFormat="false" ht="12.8" hidden="false" customHeight="false" outlineLevel="0" collapsed="false">
      <c r="A10" s="1" t="s">
        <v>45</v>
      </c>
      <c r="B10" s="1" t="n">
        <v>1</v>
      </c>
      <c r="C10" s="3" t="n">
        <f aca="false">B10*5</f>
        <v>5</v>
      </c>
      <c r="D10" s="1" t="n">
        <v>10</v>
      </c>
      <c r="F10" s="1" t="s">
        <v>46</v>
      </c>
      <c r="G10" s="1" t="s">
        <v>15</v>
      </c>
      <c r="H10" s="1" t="s">
        <v>16</v>
      </c>
      <c r="I10" s="4" t="s">
        <v>47</v>
      </c>
      <c r="J10" s="1" t="s">
        <v>48</v>
      </c>
    </row>
    <row r="11" customFormat="false" ht="12.8" hidden="false" customHeight="false" outlineLevel="0" collapsed="false">
      <c r="A11" s="1" t="s">
        <v>49</v>
      </c>
      <c r="B11" s="1" t="n">
        <v>2</v>
      </c>
      <c r="C11" s="3" t="n">
        <f aca="false">B11*5</f>
        <v>10</v>
      </c>
      <c r="D11" s="1" t="n">
        <v>12</v>
      </c>
      <c r="F11" s="1" t="s">
        <v>14</v>
      </c>
      <c r="G11" s="1" t="s">
        <v>31</v>
      </c>
      <c r="H11" s="1" t="s">
        <v>16</v>
      </c>
      <c r="I11" s="4" t="s">
        <v>50</v>
      </c>
      <c r="J11" s="1" t="s">
        <v>51</v>
      </c>
    </row>
    <row r="12" customFormat="false" ht="12.8" hidden="false" customHeight="false" outlineLevel="0" collapsed="false">
      <c r="A12" s="7" t="s">
        <v>52</v>
      </c>
      <c r="B12" s="7" t="n">
        <v>2</v>
      </c>
      <c r="C12" s="3" t="n">
        <f aca="false">B12*5</f>
        <v>10</v>
      </c>
      <c r="D12" s="7" t="n">
        <v>14</v>
      </c>
      <c r="E12" s="7"/>
      <c r="F12" s="7" t="s">
        <v>53</v>
      </c>
      <c r="G12" s="7" t="s">
        <v>54</v>
      </c>
      <c r="H12" s="1" t="s">
        <v>16</v>
      </c>
      <c r="I12" s="8" t="s">
        <v>55</v>
      </c>
      <c r="J12" s="1" t="s">
        <v>56</v>
      </c>
    </row>
    <row r="13" customFormat="false" ht="12.8" hidden="false" customHeight="false" outlineLevel="0" collapsed="false">
      <c r="A13" s="7" t="s">
        <v>52</v>
      </c>
      <c r="B13" s="7" t="n">
        <v>2</v>
      </c>
      <c r="C13" s="3" t="n">
        <f aca="false">B13*5</f>
        <v>10</v>
      </c>
      <c r="D13" s="7" t="n">
        <v>14</v>
      </c>
      <c r="E13" s="7"/>
      <c r="F13" s="7" t="s">
        <v>30</v>
      </c>
      <c r="G13" s="7" t="s">
        <v>57</v>
      </c>
      <c r="H13" s="1" t="s">
        <v>58</v>
      </c>
      <c r="I13" s="8" t="s">
        <v>59</v>
      </c>
      <c r="J13" s="1" t="s">
        <v>60</v>
      </c>
    </row>
    <row r="14" customFormat="false" ht="12.8" hidden="false" customHeight="false" outlineLevel="0" collapsed="false">
      <c r="A14" s="1" t="s">
        <v>61</v>
      </c>
      <c r="B14" s="1" t="n">
        <v>1</v>
      </c>
      <c r="C14" s="3" t="n">
        <f aca="false">B14*5</f>
        <v>5</v>
      </c>
      <c r="D14" s="1" t="n">
        <v>6</v>
      </c>
      <c r="F14" s="1" t="s">
        <v>62</v>
      </c>
      <c r="G14" s="1" t="s">
        <v>15</v>
      </c>
      <c r="H14" s="1" t="s">
        <v>58</v>
      </c>
      <c r="I14" s="4" t="s">
        <v>63</v>
      </c>
      <c r="J14" s="1" t="s">
        <v>64</v>
      </c>
    </row>
    <row r="15" customFormat="false" ht="12.8" hidden="false" customHeight="false" outlineLevel="0" collapsed="false">
      <c r="A15" s="1" t="s">
        <v>65</v>
      </c>
      <c r="B15" s="1" t="n">
        <v>1</v>
      </c>
      <c r="C15" s="3" t="n">
        <f aca="false">B15*5</f>
        <v>5</v>
      </c>
      <c r="D15" s="1" t="n">
        <v>100</v>
      </c>
      <c r="F15" s="1" t="s">
        <v>66</v>
      </c>
      <c r="G15" s="1" t="s">
        <v>15</v>
      </c>
      <c r="H15" s="1" t="s">
        <v>16</v>
      </c>
      <c r="I15" s="8" t="s">
        <v>67</v>
      </c>
      <c r="J15" s="1" t="s">
        <v>68</v>
      </c>
    </row>
    <row r="16" customFormat="false" ht="12.8" hidden="false" customHeight="false" outlineLevel="0" collapsed="false">
      <c r="A16" s="1" t="s">
        <v>69</v>
      </c>
      <c r="B16" s="1" t="n">
        <v>1</v>
      </c>
      <c r="C16" s="3" t="n">
        <f aca="false">B16*5</f>
        <v>5</v>
      </c>
      <c r="D16" s="1" t="n">
        <v>30</v>
      </c>
      <c r="F16" s="1" t="s">
        <v>46</v>
      </c>
      <c r="G16" s="1" t="s">
        <v>31</v>
      </c>
      <c r="H16" s="1" t="s">
        <v>16</v>
      </c>
      <c r="I16" s="8" t="s">
        <v>70</v>
      </c>
      <c r="J16" s="1" t="s">
        <v>71</v>
      </c>
    </row>
    <row r="17" customFormat="false" ht="12.8" hidden="false" customHeight="false" outlineLevel="0" collapsed="false">
      <c r="A17" s="1" t="s">
        <v>72</v>
      </c>
      <c r="B17" s="1" t="n">
        <v>2</v>
      </c>
      <c r="C17" s="3" t="n">
        <f aca="false">B17*5</f>
        <v>10</v>
      </c>
      <c r="D17" s="1" t="n">
        <v>20</v>
      </c>
      <c r="F17" s="1" t="s">
        <v>73</v>
      </c>
      <c r="G17" s="1" t="s">
        <v>31</v>
      </c>
      <c r="H17" s="1" t="s">
        <v>16</v>
      </c>
      <c r="I17" s="8" t="s">
        <v>74</v>
      </c>
      <c r="J17" s="1" t="s">
        <v>75</v>
      </c>
    </row>
    <row r="18" customFormat="false" ht="12.8" hidden="false" customHeight="false" outlineLevel="0" collapsed="false">
      <c r="A18" s="9" t="s">
        <v>76</v>
      </c>
      <c r="B18" s="9" t="n">
        <v>1</v>
      </c>
      <c r="C18" s="10" t="n">
        <f aca="false">B18*5</f>
        <v>5</v>
      </c>
      <c r="D18" s="9"/>
      <c r="E18" s="9" t="s">
        <v>77</v>
      </c>
      <c r="F18" s="9" t="s">
        <v>66</v>
      </c>
      <c r="G18" s="9" t="s">
        <v>15</v>
      </c>
    </row>
    <row r="19" customFormat="false" ht="12.8" hidden="false" customHeight="false" outlineLevel="0" collapsed="false">
      <c r="A19" s="1" t="s">
        <v>78</v>
      </c>
      <c r="B19" s="1" t="n">
        <v>1</v>
      </c>
      <c r="C19" s="3" t="n">
        <f aca="false">B19*5</f>
        <v>5</v>
      </c>
      <c r="D19" s="1" t="n">
        <v>10</v>
      </c>
      <c r="F19" s="1" t="s">
        <v>79</v>
      </c>
      <c r="G19" s="1" t="s">
        <v>80</v>
      </c>
      <c r="H19" s="1" t="s">
        <v>81</v>
      </c>
      <c r="I19" s="8" t="s">
        <v>82</v>
      </c>
      <c r="J19" s="1" t="s">
        <v>83</v>
      </c>
    </row>
    <row r="20" customFormat="false" ht="12.8" hidden="false" customHeight="false" outlineLevel="0" collapsed="false">
      <c r="A20" s="1" t="s">
        <v>84</v>
      </c>
      <c r="B20" s="1" t="n">
        <v>7</v>
      </c>
      <c r="C20" s="3" t="n">
        <f aca="false">B20*5</f>
        <v>35</v>
      </c>
      <c r="D20" s="1" t="n">
        <v>40</v>
      </c>
      <c r="F20" s="1" t="s">
        <v>85</v>
      </c>
      <c r="G20" s="1" t="s">
        <v>86</v>
      </c>
      <c r="H20" s="1" t="s">
        <v>87</v>
      </c>
      <c r="I20" s="8" t="s">
        <v>88</v>
      </c>
      <c r="J20" s="1" t="s">
        <v>89</v>
      </c>
    </row>
    <row r="21" customFormat="false" ht="12.8" hidden="false" customHeight="false" outlineLevel="0" collapsed="false">
      <c r="A21" s="1" t="s">
        <v>90</v>
      </c>
      <c r="B21" s="1" t="n">
        <v>3</v>
      </c>
      <c r="C21" s="3" t="n">
        <f aca="false">B21*5</f>
        <v>15</v>
      </c>
      <c r="D21" s="1" t="n">
        <v>20</v>
      </c>
      <c r="F21" s="1" t="s">
        <v>91</v>
      </c>
      <c r="G21" s="1" t="s">
        <v>92</v>
      </c>
      <c r="H21" s="1" t="s">
        <v>93</v>
      </c>
      <c r="I21" s="1" t="s">
        <v>91</v>
      </c>
      <c r="J21" s="1" t="s">
        <v>94</v>
      </c>
    </row>
    <row r="22" customFormat="false" ht="12.8" hidden="false" customHeight="false" outlineLevel="0" collapsed="false">
      <c r="A22" s="2" t="s">
        <v>95</v>
      </c>
      <c r="B22" s="2" t="n">
        <v>1</v>
      </c>
      <c r="C22" s="11" t="n">
        <f aca="false">B22*5</f>
        <v>5</v>
      </c>
      <c r="D22" s="2"/>
      <c r="E22" s="2"/>
      <c r="F22" s="2" t="s">
        <v>96</v>
      </c>
      <c r="G22" s="2" t="s">
        <v>97</v>
      </c>
    </row>
    <row r="23" customFormat="false" ht="12.8" hidden="false" customHeight="false" outlineLevel="0" collapsed="false">
      <c r="A23" s="2" t="s">
        <v>98</v>
      </c>
      <c r="B23" s="2" t="n">
        <v>1</v>
      </c>
      <c r="C23" s="11" t="n">
        <f aca="false">B23*5</f>
        <v>5</v>
      </c>
      <c r="D23" s="2"/>
      <c r="E23" s="2"/>
      <c r="F23" s="2" t="s">
        <v>99</v>
      </c>
      <c r="G23" s="2" t="s">
        <v>100</v>
      </c>
    </row>
    <row r="24" customFormat="false" ht="12.8" hidden="false" customHeight="false" outlineLevel="0" collapsed="false">
      <c r="A24" s="1" t="s">
        <v>101</v>
      </c>
      <c r="B24" s="1" t="n">
        <v>1</v>
      </c>
      <c r="C24" s="3" t="n">
        <f aca="false">B24*5</f>
        <v>5</v>
      </c>
      <c r="D24" s="1" t="n">
        <v>6</v>
      </c>
      <c r="F24" s="1" t="s">
        <v>102</v>
      </c>
      <c r="G24" s="1" t="s">
        <v>103</v>
      </c>
      <c r="H24" s="1" t="s">
        <v>104</v>
      </c>
      <c r="I24" s="1" t="s">
        <v>105</v>
      </c>
      <c r="J24" s="1" t="s">
        <v>106</v>
      </c>
    </row>
    <row r="25" customFormat="false" ht="12.8" hidden="false" customHeight="false" outlineLevel="0" collapsed="false">
      <c r="A25" s="2" t="s">
        <v>107</v>
      </c>
      <c r="B25" s="2" t="n">
        <v>3</v>
      </c>
      <c r="C25" s="2" t="n">
        <f aca="false">B25*5</f>
        <v>15</v>
      </c>
      <c r="D25" s="2"/>
      <c r="E25" s="2"/>
      <c r="F25" s="2" t="s">
        <v>108</v>
      </c>
      <c r="G25" s="2" t="s">
        <v>109</v>
      </c>
    </row>
    <row r="26" customFormat="false" ht="12.8" hidden="false" customHeight="false" outlineLevel="0" collapsed="false">
      <c r="A26" s="2" t="s">
        <v>110</v>
      </c>
      <c r="B26" s="2" t="n">
        <v>10</v>
      </c>
      <c r="C26" s="2" t="n">
        <f aca="false">B26*5</f>
        <v>50</v>
      </c>
      <c r="D26" s="2"/>
      <c r="E26" s="2"/>
      <c r="F26" s="2" t="s">
        <v>111</v>
      </c>
      <c r="G26" s="2" t="s">
        <v>112</v>
      </c>
    </row>
    <row r="27" customFormat="false" ht="12.8" hidden="false" customHeight="false" outlineLevel="0" collapsed="false">
      <c r="A27" s="1" t="s">
        <v>113</v>
      </c>
      <c r="B27" s="1" t="n">
        <v>1</v>
      </c>
      <c r="C27" s="3" t="n">
        <f aca="false">B27*5</f>
        <v>5</v>
      </c>
      <c r="D27" s="1" t="n">
        <v>5</v>
      </c>
      <c r="F27" s="1" t="s">
        <v>114</v>
      </c>
      <c r="G27" s="1" t="s">
        <v>115</v>
      </c>
      <c r="H27" s="1" t="s">
        <v>116</v>
      </c>
      <c r="I27" s="8" t="s">
        <v>117</v>
      </c>
      <c r="J27" s="1" t="s">
        <v>118</v>
      </c>
    </row>
    <row r="28" customFormat="false" ht="12.8" hidden="false" customHeight="false" outlineLevel="0" collapsed="false">
      <c r="A28" s="1" t="s">
        <v>119</v>
      </c>
      <c r="B28" s="1" t="n">
        <v>2</v>
      </c>
      <c r="C28" s="3" t="s">
        <v>120</v>
      </c>
      <c r="D28" s="1" t="n">
        <v>12</v>
      </c>
      <c r="F28" s="1" t="s">
        <v>121</v>
      </c>
      <c r="G28" s="1" t="s">
        <v>122</v>
      </c>
      <c r="H28" s="1" t="s">
        <v>123</v>
      </c>
      <c r="I28" s="1" t="s">
        <v>121</v>
      </c>
      <c r="J28" s="1" t="s">
        <v>124</v>
      </c>
    </row>
    <row r="29" customFormat="false" ht="12.8" hidden="false" customHeight="false" outlineLevel="0" collapsed="false">
      <c r="A29" s="1" t="s">
        <v>125</v>
      </c>
      <c r="B29" s="1" t="n">
        <v>4</v>
      </c>
      <c r="C29" s="3" t="n">
        <f aca="false">B29*5</f>
        <v>20</v>
      </c>
      <c r="D29" s="1" t="n">
        <v>40</v>
      </c>
      <c r="F29" s="1" t="s">
        <v>126</v>
      </c>
      <c r="G29" s="1" t="s">
        <v>127</v>
      </c>
      <c r="H29" s="1" t="s">
        <v>128</v>
      </c>
      <c r="I29" s="8" t="s">
        <v>129</v>
      </c>
      <c r="J29" s="1" t="s">
        <v>130</v>
      </c>
    </row>
    <row r="30" customFormat="false" ht="12.8" hidden="false" customHeight="false" outlineLevel="0" collapsed="false">
      <c r="A30" s="1" t="s">
        <v>131</v>
      </c>
      <c r="B30" s="1" t="n">
        <v>3</v>
      </c>
      <c r="C30" s="3" t="n">
        <f aca="false">B30*5</f>
        <v>15</v>
      </c>
      <c r="D30" s="1" t="n">
        <v>30</v>
      </c>
      <c r="F30" s="1" t="s">
        <v>132</v>
      </c>
      <c r="G30" s="1" t="s">
        <v>127</v>
      </c>
      <c r="H30" s="1" t="s">
        <v>87</v>
      </c>
      <c r="I30" s="8" t="s">
        <v>133</v>
      </c>
      <c r="J30" s="1" t="s">
        <v>134</v>
      </c>
    </row>
    <row r="31" customFormat="false" ht="12.8" hidden="false" customHeight="false" outlineLevel="0" collapsed="false">
      <c r="A31" s="1" t="s">
        <v>135</v>
      </c>
      <c r="B31" s="1" t="n">
        <v>2</v>
      </c>
      <c r="C31" s="3" t="n">
        <f aca="false">B31*5</f>
        <v>10</v>
      </c>
      <c r="D31" s="1" t="n">
        <v>30</v>
      </c>
      <c r="F31" s="1" t="s">
        <v>136</v>
      </c>
      <c r="G31" s="1" t="s">
        <v>137</v>
      </c>
      <c r="H31" s="1" t="s">
        <v>138</v>
      </c>
      <c r="I31" s="8" t="s">
        <v>139</v>
      </c>
      <c r="J31" s="1" t="s">
        <v>140</v>
      </c>
    </row>
    <row r="32" customFormat="false" ht="12.8" hidden="false" customHeight="false" outlineLevel="0" collapsed="false">
      <c r="A32" s="1" t="s">
        <v>141</v>
      </c>
      <c r="B32" s="1" t="n">
        <v>1</v>
      </c>
      <c r="C32" s="3" t="n">
        <f aca="false">B32*5</f>
        <v>5</v>
      </c>
      <c r="D32" s="1" t="n">
        <v>10</v>
      </c>
      <c r="F32" s="1" t="s">
        <v>142</v>
      </c>
      <c r="G32" s="1" t="s">
        <v>143</v>
      </c>
      <c r="H32" s="1" t="s">
        <v>144</v>
      </c>
      <c r="I32" s="1" t="s">
        <v>145</v>
      </c>
      <c r="J32" s="1" t="s">
        <v>146</v>
      </c>
    </row>
    <row r="33" customFormat="false" ht="12.8" hidden="false" customHeight="false" outlineLevel="0" collapsed="false">
      <c r="A33" s="1" t="s">
        <v>147</v>
      </c>
      <c r="B33" s="1" t="n">
        <v>8</v>
      </c>
      <c r="C33" s="3" t="n">
        <f aca="false">B33*5</f>
        <v>40</v>
      </c>
      <c r="D33" s="1" t="n">
        <v>50</v>
      </c>
      <c r="F33" s="1" t="s">
        <v>148</v>
      </c>
      <c r="G33" s="1" t="s">
        <v>149</v>
      </c>
      <c r="H33" s="1" t="s">
        <v>150</v>
      </c>
      <c r="I33" s="8" t="s">
        <v>151</v>
      </c>
      <c r="J33" s="1" t="s">
        <v>152</v>
      </c>
    </row>
    <row r="34" customFormat="false" ht="12.8" hidden="false" customHeight="false" outlineLevel="0" collapsed="false">
      <c r="A34" s="1" t="s">
        <v>153</v>
      </c>
      <c r="B34" s="1" t="n">
        <v>15</v>
      </c>
      <c r="C34" s="3" t="n">
        <f aca="false">B34*5</f>
        <v>75</v>
      </c>
      <c r="D34" s="1" t="n">
        <v>100</v>
      </c>
      <c r="F34" s="1" t="s">
        <v>154</v>
      </c>
      <c r="G34" s="1" t="s">
        <v>149</v>
      </c>
      <c r="H34" s="1" t="s">
        <v>150</v>
      </c>
      <c r="I34" s="8" t="s">
        <v>155</v>
      </c>
      <c r="J34" s="1" t="s">
        <v>156</v>
      </c>
    </row>
    <row r="35" customFormat="false" ht="12.8" hidden="false" customHeight="false" outlineLevel="0" collapsed="false">
      <c r="A35" s="1" t="s">
        <v>157</v>
      </c>
      <c r="B35" s="1" t="n">
        <v>1</v>
      </c>
      <c r="C35" s="3" t="n">
        <f aca="false">B35*5</f>
        <v>5</v>
      </c>
      <c r="D35" s="1" t="n">
        <v>7</v>
      </c>
      <c r="F35" s="1" t="s">
        <v>158</v>
      </c>
      <c r="G35" s="1" t="s">
        <v>149</v>
      </c>
      <c r="H35" s="1" t="s">
        <v>22</v>
      </c>
      <c r="I35" s="8" t="s">
        <v>159</v>
      </c>
      <c r="J35" s="1" t="s">
        <v>160</v>
      </c>
    </row>
    <row r="36" customFormat="false" ht="12.8" hidden="false" customHeight="false" outlineLevel="0" collapsed="false">
      <c r="A36" s="1" t="s">
        <v>161</v>
      </c>
      <c r="B36" s="1" t="n">
        <v>1</v>
      </c>
      <c r="C36" s="3" t="n">
        <f aca="false">B36*5</f>
        <v>5</v>
      </c>
      <c r="D36" s="1" t="n">
        <v>100</v>
      </c>
      <c r="F36" s="1" t="s">
        <v>162</v>
      </c>
      <c r="G36" s="1" t="s">
        <v>149</v>
      </c>
      <c r="H36" s="1" t="s">
        <v>22</v>
      </c>
      <c r="I36" s="8" t="s">
        <v>163</v>
      </c>
      <c r="J36" s="1" t="s">
        <v>164</v>
      </c>
    </row>
    <row r="37" customFormat="false" ht="12.8" hidden="false" customHeight="false" outlineLevel="0" collapsed="false">
      <c r="A37" s="1" t="s">
        <v>165</v>
      </c>
      <c r="B37" s="1" t="n">
        <v>1</v>
      </c>
      <c r="C37" s="3" t="n">
        <f aca="false">B37*5</f>
        <v>5</v>
      </c>
      <c r="D37" s="1" t="n">
        <v>60</v>
      </c>
      <c r="F37" s="1" t="s">
        <v>166</v>
      </c>
      <c r="G37" s="1" t="s">
        <v>149</v>
      </c>
      <c r="H37" s="1" t="s">
        <v>167</v>
      </c>
      <c r="I37" s="4" t="s">
        <v>168</v>
      </c>
      <c r="J37" s="1" t="s">
        <v>169</v>
      </c>
    </row>
    <row r="38" customFormat="false" ht="12.8" hidden="false" customHeight="false" outlineLevel="0" collapsed="false">
      <c r="A38" s="1" t="s">
        <v>170</v>
      </c>
      <c r="B38" s="1" t="n">
        <v>12</v>
      </c>
      <c r="C38" s="3" t="n">
        <f aca="false">B38*5</f>
        <v>60</v>
      </c>
      <c r="D38" s="1" t="n">
        <v>100</v>
      </c>
      <c r="F38" s="1" t="s">
        <v>171</v>
      </c>
      <c r="G38" s="1" t="s">
        <v>149</v>
      </c>
      <c r="H38" s="1" t="s">
        <v>150</v>
      </c>
      <c r="I38" s="8" t="s">
        <v>172</v>
      </c>
      <c r="J38" s="1" t="s">
        <v>173</v>
      </c>
    </row>
    <row r="39" customFormat="false" ht="12.8" hidden="false" customHeight="false" outlineLevel="0" collapsed="false">
      <c r="A39" s="1" t="s">
        <v>174</v>
      </c>
      <c r="B39" s="1" t="n">
        <v>1</v>
      </c>
      <c r="C39" s="3" t="n">
        <f aca="false">B39*5</f>
        <v>5</v>
      </c>
      <c r="D39" s="1" t="n">
        <v>100</v>
      </c>
      <c r="F39" s="1" t="s">
        <v>175</v>
      </c>
      <c r="G39" s="1" t="s">
        <v>149</v>
      </c>
      <c r="H39" s="1" t="s">
        <v>167</v>
      </c>
      <c r="I39" s="4" t="s">
        <v>176</v>
      </c>
      <c r="J39" s="1" t="s">
        <v>177</v>
      </c>
    </row>
    <row r="40" customFormat="false" ht="12.8" hidden="false" customHeight="false" outlineLevel="0" collapsed="false">
      <c r="A40" s="1" t="s">
        <v>178</v>
      </c>
      <c r="B40" s="1" t="n">
        <v>10</v>
      </c>
      <c r="C40" s="3" t="n">
        <f aca="false">B40*5</f>
        <v>50</v>
      </c>
      <c r="D40" s="1" t="n">
        <v>200</v>
      </c>
      <c r="F40" s="1" t="s">
        <v>179</v>
      </c>
      <c r="G40" s="1" t="s">
        <v>149</v>
      </c>
      <c r="H40" s="1" t="s">
        <v>150</v>
      </c>
      <c r="I40" s="8" t="s">
        <v>180</v>
      </c>
      <c r="J40" s="1" t="s">
        <v>181</v>
      </c>
    </row>
    <row r="41" customFormat="false" ht="12.8" hidden="false" customHeight="false" outlineLevel="0" collapsed="false">
      <c r="A41" s="1" t="s">
        <v>182</v>
      </c>
      <c r="B41" s="1" t="n">
        <v>3</v>
      </c>
      <c r="C41" s="3" t="n">
        <f aca="false">B41*5</f>
        <v>15</v>
      </c>
      <c r="D41" s="1" t="n">
        <v>30</v>
      </c>
      <c r="F41" s="1" t="s">
        <v>183</v>
      </c>
      <c r="G41" s="1" t="s">
        <v>149</v>
      </c>
      <c r="H41" s="1" t="s">
        <v>150</v>
      </c>
      <c r="I41" s="8" t="s">
        <v>184</v>
      </c>
      <c r="J41" s="1" t="s">
        <v>185</v>
      </c>
    </row>
    <row r="42" customFormat="false" ht="12.8" hidden="false" customHeight="false" outlineLevel="0" collapsed="false">
      <c r="A42" s="1" t="s">
        <v>186</v>
      </c>
      <c r="B42" s="1" t="n">
        <v>1</v>
      </c>
      <c r="C42" s="3" t="n">
        <f aca="false">B42*5</f>
        <v>5</v>
      </c>
      <c r="D42" s="1" t="n">
        <v>30</v>
      </c>
      <c r="F42" s="1" t="s">
        <v>187</v>
      </c>
      <c r="G42" s="1" t="s">
        <v>149</v>
      </c>
      <c r="H42" s="1" t="s">
        <v>150</v>
      </c>
      <c r="I42" s="8" t="s">
        <v>188</v>
      </c>
      <c r="J42" s="1" t="s">
        <v>189</v>
      </c>
    </row>
    <row r="43" customFormat="false" ht="12.8" hidden="false" customHeight="false" outlineLevel="0" collapsed="false">
      <c r="A43" s="9" t="s">
        <v>190</v>
      </c>
      <c r="B43" s="9" t="n">
        <v>1</v>
      </c>
      <c r="C43" s="10" t="n">
        <f aca="false">B43*5</f>
        <v>5</v>
      </c>
      <c r="D43" s="9"/>
      <c r="E43" s="9" t="s">
        <v>77</v>
      </c>
      <c r="F43" s="9" t="s">
        <v>154</v>
      </c>
      <c r="G43" s="9" t="s">
        <v>149</v>
      </c>
    </row>
    <row r="44" customFormat="false" ht="12.8" hidden="false" customHeight="false" outlineLevel="0" collapsed="false">
      <c r="A44" s="1" t="s">
        <v>191</v>
      </c>
      <c r="B44" s="1" t="n">
        <v>1</v>
      </c>
      <c r="C44" s="3" t="n">
        <f aca="false">B44*5</f>
        <v>5</v>
      </c>
      <c r="D44" s="1" t="n">
        <v>20</v>
      </c>
      <c r="F44" s="1" t="s">
        <v>192</v>
      </c>
      <c r="G44" s="1" t="s">
        <v>149</v>
      </c>
      <c r="H44" s="1" t="s">
        <v>150</v>
      </c>
      <c r="I44" s="8" t="s">
        <v>193</v>
      </c>
      <c r="J44" s="1" t="s">
        <v>194</v>
      </c>
    </row>
    <row r="45" customFormat="false" ht="12.8" hidden="false" customHeight="false" outlineLevel="0" collapsed="false">
      <c r="A45" s="1" t="s">
        <v>195</v>
      </c>
      <c r="B45" s="1" t="n">
        <v>5</v>
      </c>
      <c r="C45" s="3" t="n">
        <f aca="false">B45*5</f>
        <v>25</v>
      </c>
      <c r="D45" s="1" t="n">
        <v>100</v>
      </c>
      <c r="F45" s="1" t="s">
        <v>196</v>
      </c>
      <c r="G45" s="1" t="s">
        <v>149</v>
      </c>
      <c r="H45" s="1" t="s">
        <v>150</v>
      </c>
      <c r="I45" s="8" t="s">
        <v>197</v>
      </c>
      <c r="J45" s="1" t="s">
        <v>198</v>
      </c>
    </row>
    <row r="46" customFormat="false" ht="12.8" hidden="false" customHeight="false" outlineLevel="0" collapsed="false">
      <c r="A46" s="1" t="s">
        <v>199</v>
      </c>
      <c r="B46" s="1" t="n">
        <v>3</v>
      </c>
      <c r="C46" s="3" t="n">
        <f aca="false">B46*5</f>
        <v>15</v>
      </c>
      <c r="D46" s="1" t="n">
        <v>20</v>
      </c>
      <c r="F46" s="1" t="s">
        <v>200</v>
      </c>
      <c r="G46" s="1" t="s">
        <v>149</v>
      </c>
      <c r="H46" s="1" t="s">
        <v>150</v>
      </c>
      <c r="I46" s="8" t="s">
        <v>201</v>
      </c>
      <c r="J46" s="1" t="s">
        <v>202</v>
      </c>
    </row>
    <row r="47" customFormat="false" ht="12.8" hidden="false" customHeight="false" outlineLevel="0" collapsed="false">
      <c r="A47" s="1" t="s">
        <v>203</v>
      </c>
      <c r="B47" s="1" t="n">
        <v>2</v>
      </c>
      <c r="C47" s="3" t="n">
        <f aca="false">B47*5</f>
        <v>10</v>
      </c>
      <c r="D47" s="1" t="n">
        <v>12</v>
      </c>
      <c r="F47" s="1" t="s">
        <v>204</v>
      </c>
      <c r="G47" s="1" t="s">
        <v>205</v>
      </c>
      <c r="H47" s="1" t="s">
        <v>206</v>
      </c>
      <c r="I47" s="8" t="s">
        <v>207</v>
      </c>
      <c r="J47" s="1" t="s">
        <v>208</v>
      </c>
    </row>
    <row r="48" customFormat="false" ht="12.8" hidden="false" customHeight="false" outlineLevel="0" collapsed="false">
      <c r="A48" s="1" t="s">
        <v>209</v>
      </c>
      <c r="B48" s="1" t="n">
        <v>1</v>
      </c>
      <c r="C48" s="3" t="n">
        <f aca="false">B48*5</f>
        <v>5</v>
      </c>
      <c r="D48" s="1" t="n">
        <v>5</v>
      </c>
      <c r="F48" s="1" t="s">
        <v>210</v>
      </c>
      <c r="G48" s="1" t="s">
        <v>211</v>
      </c>
      <c r="H48" s="1" t="s">
        <v>212</v>
      </c>
      <c r="I48" s="1" t="s">
        <v>213</v>
      </c>
      <c r="J48" s="1" t="s">
        <v>214</v>
      </c>
    </row>
    <row r="49" customFormat="false" ht="12.8" hidden="false" customHeight="false" outlineLevel="0" collapsed="false">
      <c r="A49" s="1" t="s">
        <v>215</v>
      </c>
      <c r="B49" s="1" t="n">
        <v>1</v>
      </c>
      <c r="C49" s="3" t="n">
        <f aca="false">B49*5</f>
        <v>5</v>
      </c>
      <c r="D49" s="1" t="n">
        <v>5</v>
      </c>
      <c r="F49" s="1" t="s">
        <v>216</v>
      </c>
      <c r="G49" s="1" t="s">
        <v>217</v>
      </c>
      <c r="H49" s="1" t="s">
        <v>218</v>
      </c>
      <c r="I49" s="1" t="s">
        <v>219</v>
      </c>
      <c r="J49" s="1" t="s">
        <v>220</v>
      </c>
    </row>
    <row r="50" customFormat="false" ht="12.8" hidden="false" customHeight="false" outlineLevel="0" collapsed="false">
      <c r="A50" s="1" t="s">
        <v>221</v>
      </c>
      <c r="B50" s="1" t="n">
        <v>1</v>
      </c>
      <c r="C50" s="3" t="n">
        <f aca="false">B50*5</f>
        <v>5</v>
      </c>
      <c r="D50" s="1" t="n">
        <v>5</v>
      </c>
      <c r="F50" s="1" t="s">
        <v>222</v>
      </c>
      <c r="G50" s="1" t="s">
        <v>223</v>
      </c>
      <c r="H50" s="1" t="s">
        <v>224</v>
      </c>
      <c r="I50" s="1" t="s">
        <v>225</v>
      </c>
      <c r="J50" s="12" t="s">
        <v>226</v>
      </c>
    </row>
    <row r="51" customFormat="false" ht="12.8" hidden="false" customHeight="false" outlineLevel="0" collapsed="false">
      <c r="A51" s="1" t="s">
        <v>227</v>
      </c>
      <c r="B51" s="1" t="n">
        <v>1</v>
      </c>
      <c r="C51" s="3" t="n">
        <f aca="false">B51*5</f>
        <v>5</v>
      </c>
      <c r="D51" s="1" t="n">
        <v>5</v>
      </c>
      <c r="F51" s="1" t="s">
        <v>228</v>
      </c>
      <c r="G51" s="1" t="s">
        <v>229</v>
      </c>
      <c r="H51" s="1" t="s">
        <v>144</v>
      </c>
      <c r="I51" s="1" t="s">
        <v>230</v>
      </c>
      <c r="J51" s="1" t="s">
        <v>231</v>
      </c>
    </row>
    <row r="52" customFormat="false" ht="12.8" hidden="false" customHeight="false" outlineLevel="0" collapsed="false">
      <c r="A52" s="1" t="s">
        <v>232</v>
      </c>
      <c r="B52" s="1" t="n">
        <v>1</v>
      </c>
      <c r="C52" s="3" t="n">
        <f aca="false">B52*5</f>
        <v>5</v>
      </c>
      <c r="D52" s="1" t="n">
        <v>5</v>
      </c>
      <c r="F52" s="1" t="s">
        <v>233</v>
      </c>
      <c r="G52" s="1" t="s">
        <v>234</v>
      </c>
      <c r="H52" s="1" t="s">
        <v>123</v>
      </c>
      <c r="I52" s="1" t="s">
        <v>235</v>
      </c>
      <c r="J52" s="12" t="s">
        <v>236</v>
      </c>
    </row>
    <row r="53" customFormat="false" ht="12.8" hidden="false" customHeight="false" outlineLevel="0" collapsed="false">
      <c r="A53" s="1" t="s">
        <v>237</v>
      </c>
      <c r="B53" s="1" t="n">
        <v>1</v>
      </c>
      <c r="C53" s="3" t="n">
        <f aca="false">B53*5</f>
        <v>5</v>
      </c>
      <c r="D53" s="1" t="n">
        <v>5</v>
      </c>
      <c r="F53" s="1" t="s">
        <v>238</v>
      </c>
      <c r="G53" s="1" t="s">
        <v>239</v>
      </c>
      <c r="H53" s="1" t="s">
        <v>240</v>
      </c>
      <c r="I53" s="1" t="s">
        <v>241</v>
      </c>
      <c r="J53" s="1" t="s">
        <v>242</v>
      </c>
    </row>
    <row r="54" customFormat="false" ht="12.8" hidden="false" customHeight="false" outlineLevel="0" collapsed="false">
      <c r="A54" s="2" t="s">
        <v>243</v>
      </c>
      <c r="B54" s="2" t="n">
        <v>1</v>
      </c>
      <c r="C54" s="2" t="n">
        <f aca="false">B54*5</f>
        <v>5</v>
      </c>
      <c r="D54" s="2"/>
      <c r="E54" s="2"/>
      <c r="F54" s="2" t="s">
        <v>244</v>
      </c>
      <c r="G54" s="2" t="s">
        <v>245</v>
      </c>
      <c r="H54" s="1" t="s">
        <v>246</v>
      </c>
      <c r="I54" s="1" t="s">
        <v>247</v>
      </c>
      <c r="J54" s="1" t="s">
        <v>248</v>
      </c>
    </row>
    <row r="55" customFormat="false" ht="12.8" hidden="false" customHeight="false" outlineLevel="0" collapsed="false">
      <c r="A55" s="2" t="s">
        <v>249</v>
      </c>
      <c r="B55" s="2" t="n">
        <v>1</v>
      </c>
      <c r="C55" s="2" t="n">
        <f aca="false">B55*5</f>
        <v>5</v>
      </c>
      <c r="D55" s="2"/>
      <c r="E55" s="2"/>
      <c r="F55" s="2" t="s">
        <v>250</v>
      </c>
      <c r="G55" s="2" t="s">
        <v>251</v>
      </c>
    </row>
  </sheetData>
  <hyperlinks>
    <hyperlink ref="J5" r:id="rId1" display="https://www.mouser.it/ProductDetail/KEMET/T491A106K016AT7280?qs=WOKUqv%2F%2FT%2FYL9FI%252BTlhIbw%3D%3D"/>
    <hyperlink ref="J50" r:id="rId2" display="https://www.mouser.it/ProductDetail/Espressif-Systems/ESP32-WROOM-32E-N8?qs=sGAEpiMZZMu3sxpa5v1qrkR%2F6t0IkXq84gmxxC8jME0%3D"/>
    <hyperlink ref="J52" r:id="rId3" display="https://www.mouser.it/ProductDetail/STMicroelectronics/USBLC6-2P6?qs=6ARB0lp6jlViGcbUSvj1Mw%3D%3D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255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2025-07-04T14:02:43Z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