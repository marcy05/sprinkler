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https://volkswagengroup.sharepoint.com/sites/IDGSystemCoreextended/Shared Documents/Development/Wearable/BOM/"/>
    </mc:Choice>
  </mc:AlternateContent>
  <xr:revisionPtr revIDLastSave="4" documentId="8_{2DD2E6F3-65B3-485C-9B3D-3669C785201A}" xr6:coauthVersionLast="47" xr6:coauthVersionMax="47" xr10:uidLastSave="{B7386FFD-C8D8-4C8C-81EF-57142376ED57}"/>
  <bookViews>
    <workbookView xWindow="-108" yWindow="-108" windowWidth="23256" windowHeight="12576" xr2:uid="{00000000-000D-0000-FFFF-FFFF00000000}"/>
  </bookViews>
  <sheets>
    <sheet name="WD40_BOM_v03" sheetId="2" r:id="rId1"/>
  </sheets>
  <definedNames>
    <definedName name="ExternalData_1" localSheetId="0" hidden="1">WD40_BOM_v03!$A$1:$J$51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2" l="1"/>
  <c r="C45" i="2"/>
  <c r="C4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1" i="2"/>
  <c r="C42" i="2"/>
  <c r="C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tc={DE527CFD-55E0-4042-BC8D-E158AD4FAC0B}</author>
  </authors>
  <commentList>
    <comment ref="D24" authorId="0" shapeId="0" xr:uid="{DE527CFD-55E0-4042-BC8D-E158AD4FAC0B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ordered only 6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1ECD1-2EBB-48D9-89D4-7365AF5D2BD0}" keepAlive="1" name="Query - WD40_v02" description="Connection to the 'WD40_v02' query in the workbook." type="5" refreshedVersion="8" background="1" saveData="1">
    <dbPr connection="Provider=Microsoft.Mashup.OleDb.1;Data Source=$Workbook$;Location=WD40_v02;Extended Properties=&quot;&quot;" command="SELECT * FROM [WD40_v02]"/>
  </connection>
</connections>
</file>

<file path=xl/sharedStrings.xml><?xml version="1.0" encoding="utf-8"?>
<sst xmlns="http://schemas.openxmlformats.org/spreadsheetml/2006/main" count="340" uniqueCount="265">
  <si>
    <t>Reference</t>
  </si>
  <si>
    <t>Qty</t>
  </si>
  <si>
    <t>PCB Quantity</t>
  </si>
  <si>
    <t>Ordered</t>
  </si>
  <si>
    <t>Description</t>
  </si>
  <si>
    <t>Value</t>
  </si>
  <si>
    <t>Footprint</t>
  </si>
  <si>
    <t>Manufacturer</t>
  </si>
  <si>
    <t>Manufacturer Part Number</t>
  </si>
  <si>
    <t>Part Link</t>
  </si>
  <si>
    <t>C101,C102,C110,C126,C129,C131,C132,C140</t>
  </si>
  <si>
    <t>Condensatore ceramico multistrato MLCC, 0402 (1005M), 1μF, ±10%, 16V cc, SMD, X5R</t>
  </si>
  <si>
    <t>1uF</t>
  </si>
  <si>
    <t>Capacitor_SMD:C_0402_1005Metric</t>
  </si>
  <si>
    <t>KEMET</t>
  </si>
  <si>
    <t>C0402C105K4PACTU</t>
  </si>
  <si>
    <t>https://it.rs-online.com/web/p/condensatori-ceramici-multistrato/1213872</t>
  </si>
  <si>
    <t>C103,C104,C105,C106,C108,C109,C113,C114,C117,C118,C125,C143</t>
  </si>
  <si>
    <t>IN LAB</t>
  </si>
  <si>
    <t>Condensatore ceramico multistrato MLCC, 0402 (1005M), 10μF, 10V cc, SMD, X5R</t>
  </si>
  <si>
    <t>10uF</t>
  </si>
  <si>
    <t>MURATA</t>
  </si>
  <si>
    <t>GRM155R61A106ME11D</t>
  </si>
  <si>
    <t>https://it.rs-online.com/web/p/condensatori-ceramici-multistrato/2608765P</t>
  </si>
  <si>
    <t>C107</t>
  </si>
  <si>
    <t>Condensatore ceramico multistrato MLCC, 0402 (1005M), 2.2μF, ±10%, 16V cc, SMD, X5R</t>
  </si>
  <si>
    <t>2.2uF</t>
  </si>
  <si>
    <t>GRM155R61C225KE11D</t>
  </si>
  <si>
    <t>https://it.rs-online.com/web/p/condensatori-ceramici-multistrato/1726972</t>
  </si>
  <si>
    <t>C111,C112,C115,C116,C119,C120,C124,C127,C128,C133,C138,C139,C141,C142,C147,C205</t>
  </si>
  <si>
    <t>Condensatore ceramico multistrato MLCC, 0402 (1005M), 100nF, ±10%, 16V cc, SMD, X7R</t>
  </si>
  <si>
    <t>100nF</t>
  </si>
  <si>
    <t>C0402C104K4RACAUTO</t>
  </si>
  <si>
    <t>https://it.rs-online.com/web/p/condensatori-ceramici-multistrato/1335648</t>
  </si>
  <si>
    <t>C121</t>
  </si>
  <si>
    <t>Condensatore ceramico multistrato MLCC, 0402 (1005M), 4.7μF, ±10%, 10V cc, SMD, X5R</t>
  </si>
  <si>
    <t>4.7uF</t>
  </si>
  <si>
    <t>TDK</t>
  </si>
  <si>
    <t>C1005X5R1A475K050BC</t>
  </si>
  <si>
    <t>https://it.rs-online.com/web/p/condensatori-ceramici-multistrato/9156294P?gb=s</t>
  </si>
  <si>
    <t>C123</t>
  </si>
  <si>
    <t>Condensatore ceramico multistrato MLCC, 0402 (1005M), 220nF, 16V cc, SMD, X7R</t>
  </si>
  <si>
    <t>220nF 16V 20%</t>
  </si>
  <si>
    <t>GCM155R71C224KE02J</t>
  </si>
  <si>
    <t>https://it.rs-online.com/web/p/condensatori-ceramici-multistrato/2608736</t>
  </si>
  <si>
    <t>C122,C130</t>
  </si>
  <si>
    <t>Condensatore ceramico multistrato MLCC, 0402 (1005M), 10nF, ±10%, 16V cc, SMD, X7R</t>
  </si>
  <si>
    <t>10nF 16V 20%</t>
  </si>
  <si>
    <t>C0402C103K4RACTU</t>
  </si>
  <si>
    <t>https://it.rs-online.com/web/p/condensatori-ceramici-multistrato/8015139P</t>
  </si>
  <si>
    <t>C134,C135</t>
  </si>
  <si>
    <t>Condensatore ceramico multistrato MLCC, 0402 (1005M), 3.3pF, ±0.05pF, 50V cc, SMD, C0G</t>
  </si>
  <si>
    <t>3.3pF</t>
  </si>
  <si>
    <t>GJM1555C1H3R3WB01D</t>
  </si>
  <si>
    <t>https://it.rs-online.com/web/p/condensatori-ceramici-multistrato/1140675?gb=s</t>
  </si>
  <si>
    <t>C136,C137</t>
  </si>
  <si>
    <t>Condensatore ceramico multistrato MLCC, 0402 (1005M), 15pF, 10V cc, SMD, NP0</t>
  </si>
  <si>
    <t>15pF</t>
  </si>
  <si>
    <t>WURTH ELEKTRONIK</t>
  </si>
  <si>
    <t>Codice 885012005008</t>
  </si>
  <si>
    <t>https://it.rs-online.com/web/p/condensatori-ceramici-multistrato/2420998P</t>
  </si>
  <si>
    <t>Condensatore ceramico multistrato MLCC, 0402 (1005M), 6.8pF, 10V cc, SMD, C0G (NP0)</t>
  </si>
  <si>
    <t>6.8pF</t>
  </si>
  <si>
    <t>Codice 885012005006</t>
  </si>
  <si>
    <t>https://it.rs-online.com/web/p/condensatori-ceramici-multistrato/2633864</t>
  </si>
  <si>
    <t>C146</t>
  </si>
  <si>
    <t>Condensatore ceramico multistrato MLCC, 0402 (1005M), 220pF, 25V cc, SMD</t>
  </si>
  <si>
    <t>220pF</t>
  </si>
  <si>
    <t>KYOCERA AVX</t>
  </si>
  <si>
    <t>04023A221JAT2A</t>
  </si>
  <si>
    <t>https://it.rs-online.com/web/p/condensatori-ceramici-multistrato/1441353?gb=s</t>
  </si>
  <si>
    <t>D103,D104,D110</t>
  </si>
  <si>
    <t>LED RGB Wurth Elektronik, SMD, 2,4 V, 3,1 V, 3,3 V., 1010 (0404)</t>
  </si>
  <si>
    <t>LED_ARGB</t>
  </si>
  <si>
    <t>LED_SMD:LED_Wurth_150044M155260</t>
  </si>
  <si>
    <t>Codice 150044M155260</t>
  </si>
  <si>
    <t>https://it.rs-online.com/web/p/led/1847279?gb=s</t>
  </si>
  <si>
    <t>L101</t>
  </si>
  <si>
    <t>Induttore a filo avvolto SMD Wurth, 2,2 μH, 1.3A, ±20%, case 2510, 2.5 x 2 x 1mm</t>
  </si>
  <si>
    <t>2.2uH</t>
  </si>
  <si>
    <t>Inductor_SMD:L_Wuerth_MAPI-2510</t>
  </si>
  <si>
    <t>Codice 74438323022</t>
  </si>
  <si>
    <t>https://it.rs-online.com/web/p/induttori-smd/7922718</t>
  </si>
  <si>
    <t>L102</t>
  </si>
  <si>
    <t>Induttore a filo avvolto SMD RS PRO, 2,2 nH, 900mA, case 0402</t>
  </si>
  <si>
    <t>2.2nH</t>
  </si>
  <si>
    <t>Inductor_SMD:L_0402_1005Metric</t>
  </si>
  <si>
    <t>RS PRO</t>
  </si>
  <si>
    <t>RSMLCI02ST2N2-S</t>
  </si>
  <si>
    <t>https://it.rs-online.com/web/p/induttori-smd/2567673</t>
  </si>
  <si>
    <t>Q101,Q107</t>
  </si>
  <si>
    <t>MOSFET Texas Instruments, canale P, 2,9 A, PICOSTAR, Montaggio superficiale</t>
  </si>
  <si>
    <t>CSD25480F3</t>
  </si>
  <si>
    <t>Package_DFN_QFN:Texas_PicoStar_DFN-3_0.69x0.60mm</t>
  </si>
  <si>
    <t>TEXAS INSTRUMENTS</t>
  </si>
  <si>
    <t>CSD23280F3T</t>
  </si>
  <si>
    <t>https://it.rs-online.com/web/p/mosfet/2528490?gb=s</t>
  </si>
  <si>
    <t>Q102,Q103,Q104,Q105,Q106</t>
  </si>
  <si>
    <t>MOSFET Texas Instruments, canale N, 2.1 A, PICOSTAR, Montaggio superficiale</t>
  </si>
  <si>
    <t>CSD13381F3</t>
  </si>
  <si>
    <t>CSD13381F4T</t>
  </si>
  <si>
    <t>https://it.rs-online.com/web/p/mosfet/2528473?gb=s</t>
  </si>
  <si>
    <t>R104,R107,R110,R111,R117,R118,R119,R120,R127,R128,R129</t>
  </si>
  <si>
    <t>Resistenza SMD Panasonic Film spesso, 680Ω, 0402 (1005M), ±5%, 0.1W</t>
  </si>
  <si>
    <t>680R</t>
  </si>
  <si>
    <t>Resistor_SMD:R_0402_1005Metric</t>
  </si>
  <si>
    <t>PANASONIC</t>
  </si>
  <si>
    <t>ERJH2GJ681X</t>
  </si>
  <si>
    <t>https://it.rs-online.com/web/p/resistenze-smd/2284543?gb=s</t>
  </si>
  <si>
    <t>R105</t>
  </si>
  <si>
    <t>Resistore SMD Yageo Film spesso, 0Ω, 0402 (1005M), ±5%, 0.063W</t>
  </si>
  <si>
    <t>0R</t>
  </si>
  <si>
    <t>YAGEO</t>
  </si>
  <si>
    <t>RC0402JR-070RL</t>
  </si>
  <si>
    <t>https://it.rs-online.com/web/p/resistenze-smd/2424018?gb=s</t>
  </si>
  <si>
    <t>R106,R126</t>
  </si>
  <si>
    <t>Resistenza SMD Panasonic Film spesso, 47kΩ, 0402 (1005M), ±0.5%, 0.063W</t>
  </si>
  <si>
    <t>47K</t>
  </si>
  <si>
    <t>ERJ2RHD4702X</t>
  </si>
  <si>
    <t>https://it.rs-online.com/web/p/resistenze-smd/8072141</t>
  </si>
  <si>
    <t>R108,R109,R112,R113,R115,R116,R124,R130,R131,R132</t>
  </si>
  <si>
    <t>Resistenza SMD Panasonic Film sottile, 10kΩ, 0402 (1005M), ±0.1%, 0.063W</t>
  </si>
  <si>
    <t>10K</t>
  </si>
  <si>
    <t>ERA2AEB103X</t>
  </si>
  <si>
    <t>https://it.rs-online.com/web/p/resistenze-smd/1746032</t>
  </si>
  <si>
    <t>R122,R123</t>
  </si>
  <si>
    <t>Resistenza SMD Vishay Film spesso, 22kΩ, 0402 (1005M), ±1%, 0.2W</t>
  </si>
  <si>
    <t>22K</t>
  </si>
  <si>
    <t>VISHAY</t>
  </si>
  <si>
    <t>CRCW040222K0FKEDHP</t>
  </si>
  <si>
    <t>https://it.rs-online.com/web/p/resistenze-smd/8121625?gb=s</t>
  </si>
  <si>
    <t>U104,U105,U106</t>
  </si>
  <si>
    <t>Interruttore tattile Panasonic, SPST, 3.5 x 2.9mm, L. attuatore 0.65mm, Montaggio superficiale</t>
  </si>
  <si>
    <t>EVQ-P7A01P</t>
  </si>
  <si>
    <t>Custom_Global_Footprints:EVQ_P7_PAN-L</t>
  </si>
  <si>
    <t>EVQP7A01P</t>
  </si>
  <si>
    <t>https://it.rs-online.com/web/p/interruttori-tattili/1789272?gb=a</t>
  </si>
  <si>
    <t>U107</t>
  </si>
  <si>
    <t>Sensore di orientamento assoluto STMicroelectronics, 3-assi, Serial-I2C, Serial-SPI, 24 pin, LGA, Montaggio superficiale</t>
  </si>
  <si>
    <t>LSM9DS1</t>
  </si>
  <si>
    <t>Package_LGA:LGA-24L_3x3.5mm_P0.43mm</t>
  </si>
  <si>
    <t>STMICROELECTRONICS</t>
  </si>
  <si>
    <t>LSM9DS1TR</t>
  </si>
  <si>
    <t>https://it.rs-online.com/web/p/sensori-di-movimento-ci/1106555?gb=s</t>
  </si>
  <si>
    <t>U201</t>
  </si>
  <si>
    <t>Array diodi TVS STMicroelectronics, Unidirezionale, , SMD, bloccaggio 17V, breakdown 6V, SOT-666</t>
  </si>
  <si>
    <t>USBLC6-2P6</t>
  </si>
  <si>
    <t>Package_DFN_QFN:ST_UQFN-6L_1.5x1.7mm_P0.5mm</t>
  </si>
  <si>
    <t>https://it.rs-online.com/web/p/diodi-tvs/6247687?gb=s</t>
  </si>
  <si>
    <t>J101,J103</t>
  </si>
  <si>
    <t>Header maschio, segnale, filo-scheda, 1.25 mm, 1 File, 3 Contatti</t>
  </si>
  <si>
    <t>505567-0381</t>
  </si>
  <si>
    <t>Custom_Global_Footprints:Micro_Molex_Connector_3911560</t>
  </si>
  <si>
    <t>MOLEX</t>
  </si>
  <si>
    <t>45111-0306</t>
  </si>
  <si>
    <t>https://it.rs-online.com/web/p/cavi-filo-scheda/1624508P</t>
  </si>
  <si>
    <t>https://it.rs-online.com/web/p/cavi-filo-scheda/1624508</t>
  </si>
  <si>
    <t>D101</t>
  </si>
  <si>
    <t>Diodo Schottky per piccoli segnali, singolo, 10 V, 3 A, 580 mV, 5 A, 150 °C</t>
  </si>
  <si>
    <t>BAT60J</t>
  </si>
  <si>
    <t>Diode_SMD:D_SOD-323</t>
  </si>
  <si>
    <t>BAT60JFILM</t>
  </si>
  <si>
    <t>https://it.farnell.com/stmicroelectronics/bat60jfilm/diodo-schottky-3a-10v-smd/dp/1467544</t>
  </si>
  <si>
    <t>D105,D106,D107,D108,D109</t>
  </si>
  <si>
    <t>Dispositivo di protezione antistatica, 20 V, X1-DFN1006, 2 Pin, 12 V, 250 mW</t>
  </si>
  <si>
    <t>D12V0HA1U2LP-7B</t>
  </si>
  <si>
    <t>Custom_Global_Footprints:D12V0HA1U2LP-7B</t>
  </si>
  <si>
    <t>DIODES INC</t>
  </si>
  <si>
    <t>https://it.farnell.com/diodes-inc/d12v0ha1u2lp-7b/diodo-protezione-esd-12v-x1-dfn1006/dp/3405100</t>
  </si>
  <si>
    <t>Codice 505567-0381</t>
  </si>
  <si>
    <t>https://it.farnell.com/molex/505567-0381/conn-strip-a-r-3p-1fila-1-25mm/dp/3911562</t>
  </si>
  <si>
    <t>J102</t>
  </si>
  <si>
    <t>Header maschio, segnale, filo-scheda, 1.25 mm, 1 File, 2 Contatti</t>
  </si>
  <si>
    <t>220097-0271</t>
  </si>
  <si>
    <t>Connector_Molex:Molex_PicoBlade_53047-0210_1x02_P1.25mm_Vertical</t>
  </si>
  <si>
    <t>Codice 220097-0271</t>
  </si>
  <si>
    <t>https://it.farnell.com/molex/220097-0271/conn-zoccolo-2pos-1fila-1-25mm/dp/4335492</t>
  </si>
  <si>
    <t>J201</t>
  </si>
  <si>
    <t>Connettore USB, USB tipo C, USB 2.0, femmina, 16 Vie</t>
  </si>
  <si>
    <t>USB_C_Receptacle_USB2.0_16P</t>
  </si>
  <si>
    <t>Connector_USB:USB_C_Receptacle_Palconn_UTC16-G</t>
  </si>
  <si>
    <t>Codice 217179-0001</t>
  </si>
  <si>
    <t>https://it.farnell.com/molex/217179-0001/conn-usb-2-0-c-presa-16pos-smt/dp/3702965</t>
  </si>
  <si>
    <t>SMD Chip Resistor, 220 ohm, ± 0.1%, 62.5 mW, 0402 [1005 Metric], Thin Film, Precision</t>
  </si>
  <si>
    <t>220R</t>
  </si>
  <si>
    <t>MULTICOMP PRO</t>
  </si>
  <si>
    <t>MP005055</t>
  </si>
  <si>
    <t>https://it.farnell.com/en-IT/multicomp-pro/mp005055/res-aec-q200-220r-0-1-1-16w-0402/dp/3517657RL</t>
  </si>
  <si>
    <t>SMD Chip Resistor, 470 ohm, ± 0.1%, 62.5 mW, 0402 [1005 Metric], Thin Film</t>
  </si>
  <si>
    <t>470R</t>
  </si>
  <si>
    <t>ERA2VEB4700X</t>
  </si>
  <si>
    <t>https://it.farnell.com/en-IT/panasonic/era2veb4700x/res-470r-0-1-0-063w-0402/dp/3601242RL</t>
  </si>
  <si>
    <t>R114</t>
  </si>
  <si>
    <t>SMD Chip Resistor, 4.7 kohm, ± 0.1%, 62.5 mW, 0402 [1005 Metric], Thin Film</t>
  </si>
  <si>
    <t>4K7</t>
  </si>
  <si>
    <t>ERA2VEB4701X</t>
  </si>
  <si>
    <t>https://it.farnell.com/en-IT/panasonic/era2veb4701x/res-4k7-0-1-0-063w-0402/dp/3601243RL</t>
  </si>
  <si>
    <t>R121,R205,R208</t>
  </si>
  <si>
    <t>SMD Chip Resistor, 5.1 kohm, ± 0.1%, 62.5 mW, 0402 [1005 Metric], Thin Film</t>
  </si>
  <si>
    <t>5K1</t>
  </si>
  <si>
    <t>ERA2VEB5101X</t>
  </si>
  <si>
    <t>https://it.farnell.com/en-IT/panasonic/era2veb5101x/res-5k1-0-1-0-063w-0402/dp/3601257RL</t>
  </si>
  <si>
    <t>R125</t>
  </si>
  <si>
    <t>SMD Chip Resistor, 47 ohm, ± 1%, 250 mW, 0402 [1005 Metric], Thick Film, Anti-Surge</t>
  </si>
  <si>
    <t>47R</t>
  </si>
  <si>
    <t>KOA</t>
  </si>
  <si>
    <t>SG73P1EWTTP47R0F</t>
  </si>
  <si>
    <t>https://it.farnell.com/en-IT/koa/sg73p1ewttp47r0f/res-47r-1-0-25w-thick-film-0402/dp/3931657</t>
  </si>
  <si>
    <t>RN102</t>
  </si>
  <si>
    <t>Resistore di rete fisso, 10 kohm, isolato, 4 Resistors, 0402 [1005 metrico], Convessi, ± 5%</t>
  </si>
  <si>
    <t>Resistor_SMD:R_Array_Concave_4x0402</t>
  </si>
  <si>
    <t>WA04X103 JTL</t>
  </si>
  <si>
    <t>https://it.farnell.com/multicomp-pro/wa04x103-jtl/rete-resistiva-isol-20k-0-063w/dp/3994601</t>
  </si>
  <si>
    <t>U101,U110</t>
  </si>
  <si>
    <t>IC, LDO, 1A, 3.3V, USP-6C</t>
  </si>
  <si>
    <t>XC6620_USP_6C</t>
  </si>
  <si>
    <t>Custom_Global_Footprints:XC6220_USP_6C</t>
  </si>
  <si>
    <t>TOREX</t>
  </si>
  <si>
    <t>XC6220B331ER-G</t>
  </si>
  <si>
    <t>https://it.farnell.com/torex/xc6220b331er-g/ic-ldo-1a-3-3v-usp-6c/dp/1830941</t>
  </si>
  <si>
    <t>U102</t>
  </si>
  <si>
    <t>Power Management IC, 2 LDO, 1 Regulated Outputs, 2 Step Down Converter, 5.5 V Supply, QFN-EP-32</t>
  </si>
  <si>
    <t>nPM1300</t>
  </si>
  <si>
    <t>Package_DFN_QFN:QFN-32-1EP_5x5mm_P0.5mm_EP3.6x3.6mm_ThermalVias</t>
  </si>
  <si>
    <t>NORDIC SEMICONDUCTOR</t>
  </si>
  <si>
    <t>NPM1300-QEAA-R7</t>
  </si>
  <si>
    <t>U108</t>
  </si>
  <si>
    <t>IC sensore battito cardiaco e pulsossimetro, interfaccia I2C, 1.7-2V, OESIP-14</t>
  </si>
  <si>
    <t>MAX30102</t>
  </si>
  <si>
    <t>OptoDevice:Maxim_OLGA-14_3.3x5.6mm_P0.8mm</t>
  </si>
  <si>
    <t>ANALOG DEVICES</t>
  </si>
  <si>
    <t>MAX30102EFD+T</t>
  </si>
  <si>
    <t>https://it.farnell.com/analog-devices/max30102efd-t/pulsossimetro-battito-card-18bit/dp/3921258</t>
  </si>
  <si>
    <t>U109</t>
  </si>
  <si>
    <t>Sensore di temperatura digitale I2C, accuratezza ±0.15°C, TLGA-10</t>
  </si>
  <si>
    <t>MAX30208CLB</t>
  </si>
  <si>
    <t>Custom_Global_Footprints:21-100265_MXM</t>
  </si>
  <si>
    <t>MAX30208CLB+T</t>
  </si>
  <si>
    <t>https://it.farnell.com/analog-devices/max30208clb-t/sensore-temperatura-digitale-0/dp/3547789</t>
  </si>
  <si>
    <t>Y102</t>
  </si>
  <si>
    <t>Cristallo, 40 MHz, SMD, 3,2mm x 2,5mm, 10 ppm, 10 pF, 10 ppm, ABM8</t>
  </si>
  <si>
    <t>ABM8-40.000MHZ-10-B1U-T</t>
  </si>
  <si>
    <t>Crystal:Crystal_SMD_Abracon_ABM8AIG-4Pin_3.2x2.5mm</t>
  </si>
  <si>
    <t>ABRACON</t>
  </si>
  <si>
    <t>https://it.farnell.com/abracon/abm8-40-000mhz-10-b1u-t/cristallo-40mhz-10pf-smd-3-2-x/dp/3228515</t>
  </si>
  <si>
    <t>Cavo assemblato, da presa micro-Lock PLUS a presa micro-Lock PLUS, 2 Vie, 1.25 mm, 1 fila, 300 mm</t>
  </si>
  <si>
    <t>45111-0203</t>
  </si>
  <si>
    <t>https://it.farnell.com/molex/45111-0203/cavo-assembl-presa-presa-2p-300mm/dp/3862442</t>
  </si>
  <si>
    <t>U103</t>
  </si>
  <si>
    <t>BROKER</t>
  </si>
  <si>
    <t>Sistemi RF su chip - SoC SMD IC ESP32-C3, single-core MCU, 2.4G Wi-Fi &amp; BLE 5.0 combo, QFN 32-pin, 5*5 mm</t>
  </si>
  <si>
    <t>ESP32-C3</t>
  </si>
  <si>
    <t>Package_DFN_QFN:QFN-32-1EP_5x5mm_P0.5mm_EP3.7x3.7mm_ThermalVias</t>
  </si>
  <si>
    <t>ESPRESSIF SYSTEMS</t>
  </si>
  <si>
    <t>https://www.mouser.it/ProductDetail/Torex-Semiconductor/XC6220B331ER-G?qs=AsjdqWjXhJ%252BJj%252BEWI7nHIg%3D%3D&amp;srsltid=AfmBOoqPkrKtmQov5B_-LENwE_Bu-AYpHOphs-d5kCDYPvZwTEWmjIJO</t>
  </si>
  <si>
    <t>BATTERY</t>
  </si>
  <si>
    <t>Battery 300mA</t>
  </si>
  <si>
    <t>NA</t>
  </si>
  <si>
    <t>AMAZON</t>
  </si>
  <si>
    <t>https://www.amazon.it/Batteria-EEMB-polimeri-ricaricabile-connettore/dp/B09DPPP8ZV/ref=sr_1_11?__mk_it_IT=%C3%85M%C3%85%C5%BD%C3%95%C3%91&amp;crid=BTKSND93YG9Q&amp;dib=eyJ2IjoiMSJ9.sRRTZvr39t2NNTQ1YnN0rSiE6M0fA46vgYBigmAU3bVCy5IlkRVICzqfRLd_o3V6eSVFRn7VRpD3YF8sN5V9DamrMhEOEVM0AUcxF4hv950xonvS5eFAGfQE7qu5zb4prVc43Lw0Tb_o5rCV4qEZ7haGQtYwJ2KSmSGfm34di3pyAKGqU4tqOFX6qSZ1GAfk7JBre_XZvc7fWp-IMEV8mHt36lN5UrjYLH3lX3ce9kM0fHk1eue7nPbFpppkDBiCw-i0hEFAXiypeZEko-gve73jyxvA97kxYEpXq08Vd9Y.0oQ42BfLOY6FT72JmGYCppvn7gCYxSFdJAbgnjPv-2w&amp;dib_tag=se&amp;keywords=LiPo+battery+34mm+by+22mm&amp;qid=1748523183&amp;sprefix=lipo+battery+34mm+by+22mm%2Caps%2C155&amp;sr=8-11</t>
  </si>
  <si>
    <t>Solder paste</t>
  </si>
  <si>
    <t>Solder Paste</t>
  </si>
  <si>
    <t>CHIPQUIK</t>
  </si>
  <si>
    <t>SMD291SNL10T5</t>
  </si>
  <si>
    <t>https://it.rs-online.com/web/p/pasta-saldante/1466194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</si>
</sst>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rgb="FF00B050"/>
      <name val="Calibri"/>
      <family val="2"/>
      <scheme val="minor"/>
    </font>
    <font>
      <strike/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 applyNumberFormat="1"/>
    <xf numFmtId="0" fontId="1" fillId="0" borderId="0" xfId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6" borderId="1" xfId="0" applyFill="1" applyBorder="1"/>
    <xf numFmtId="0" fontId="0" fillId="6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6" borderId="2" xfId="0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1" applyNumberFormat="1" applyFont="1"/>
    <xf numFmtId="0" fontId="1" fillId="6" borderId="3" xfId="1" applyNumberFormat="1" applyFill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anco, Paolo (IG/EE-2)" id="{40B04B93-6295-4218-8C60-931CFBEDFA1B}" userId="S::paolo.bianco@italdesign.it::366d8887-2fdc-4f20-9fc5-fc57bd57a9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5-05-29T14:49:54.69" personId="{40B04B93-6295-4218-8C60-931CFBEDFA1B}" id="{DE527CFD-55E0-4042-BC8D-E158AD4FAC0B}">
    <text>ordered only 6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t.farnell.com/analog-devices/max30102efd-t/pulsossimetro-battito-card-18bit/dp/3921258" TargetMode="External"/><Relationship Id="rId18" Type="http://schemas.openxmlformats.org/officeDocument/2006/relationships/hyperlink" Target="https://it.farnell.com/molex/505567-0381/conn-strip-a-r-3p-1fila-1-25mm/dp/3911562" TargetMode="External"/><Relationship Id="rId26" Type="http://schemas.openxmlformats.org/officeDocument/2006/relationships/hyperlink" Target="https://it.rs-online.com/web/p/condensatori-ceramici-multistrato/1726972" TargetMode="External"/><Relationship Id="rId39" Type="http://schemas.openxmlformats.org/officeDocument/2006/relationships/hyperlink" Target="https://it.farnell.com/molex/45111-0203/cavo-assembl-presa-presa-2p-300mm/dp/3862442" TargetMode="External"/><Relationship Id="rId21" Type="http://schemas.openxmlformats.org/officeDocument/2006/relationships/hyperlink" Target="https://it.rs-online.com/web/p/condensatori-ceramici-multistrato/2608765P" TargetMode="External"/><Relationship Id="rId34" Type="http://schemas.openxmlformats.org/officeDocument/2006/relationships/hyperlink" Target="https://it.rs-online.com/web/p/resistenze-smd/2284543?gb=s" TargetMode="External"/><Relationship Id="rId42" Type="http://schemas.openxmlformats.org/officeDocument/2006/relationships/hyperlink" Target="https://it.rs-online.com/web/p/cavi-filo-scheda/1624508P" TargetMode="External"/><Relationship Id="rId47" Type="http://schemas.openxmlformats.org/officeDocument/2006/relationships/comments" Target="../comments1.xml"/><Relationship Id="rId7" Type="http://schemas.openxmlformats.org/officeDocument/2006/relationships/hyperlink" Target="https://it.rs-online.com/web/p/led/1847279?gb=s" TargetMode="External"/><Relationship Id="rId2" Type="http://schemas.openxmlformats.org/officeDocument/2006/relationships/hyperlink" Target="https://it.rs-online.com/web/p/condensatori-ceramici-multistrato/1140675?gb=s" TargetMode="External"/><Relationship Id="rId16" Type="http://schemas.openxmlformats.org/officeDocument/2006/relationships/hyperlink" Target="https://it.rs-online.com/web/p/diodi-tvs/6247687?gb=s" TargetMode="External"/><Relationship Id="rId29" Type="http://schemas.openxmlformats.org/officeDocument/2006/relationships/hyperlink" Target="https://it.rs-online.com/web/p/condensatori-ceramici-multistrato/1441353?gb=s" TargetMode="External"/><Relationship Id="rId1" Type="http://schemas.openxmlformats.org/officeDocument/2006/relationships/hyperlink" Target="https://it.rs-online.com/web/p/induttori-smd/2567673" TargetMode="External"/><Relationship Id="rId6" Type="http://schemas.openxmlformats.org/officeDocument/2006/relationships/hyperlink" Target="https://it.rs-online.com/web/p/interruttori-tattili/1789272?gb=a" TargetMode="External"/><Relationship Id="rId11" Type="http://schemas.openxmlformats.org/officeDocument/2006/relationships/hyperlink" Target="https://it.rs-online.com/web/p/mosfet/2528473?gb=s" TargetMode="External"/><Relationship Id="rId24" Type="http://schemas.openxmlformats.org/officeDocument/2006/relationships/hyperlink" Target="https://it.rs-online.com/web/p/resistenze-smd/1746032" TargetMode="External"/><Relationship Id="rId32" Type="http://schemas.openxmlformats.org/officeDocument/2006/relationships/hyperlink" Target="https://it.farnell.com/en-IT/panasonic/era2veb4701x/res-4k7-0-1-0-063w-0402/dp/3601243RL" TargetMode="External"/><Relationship Id="rId37" Type="http://schemas.openxmlformats.org/officeDocument/2006/relationships/hyperlink" Target="https://it.rs-online.com/web/p/resistenze-smd/8121625?gb=s" TargetMode="External"/><Relationship Id="rId40" Type="http://schemas.openxmlformats.org/officeDocument/2006/relationships/hyperlink" Target="https://it.rs-online.com/web/p/cavi-filo-scheda/1624508" TargetMode="External"/><Relationship Id="rId45" Type="http://schemas.openxmlformats.org/officeDocument/2006/relationships/hyperlink" Target="https://www.amazon.it/Batteria-EEMB-polimeri-ricaricabile-connettore/dp/B09DPPP8ZV/ref=sr_1_11?__mk_it_IT=%C3%85M%C3%85%C5%BD%C3%95%C3%91&amp;crid=BTKSND93YG9Q&amp;dib=eyJ2IjoiMSJ9.sRRTZvr39t2NNTQ1YnN0rSiE6M0fA46vgYBigmAU3bVCy5IlkRVICzqfRLd_o3V6eSVFRn7VRpD3YF8sN5V9DamrMhEOEVM0AUcxF4hv950xonvS5eFAGfQE7qu5zb4prVc43Lw0Tb_o5rCV4qEZ7haGQtYwJ2KSmSGfm34di3pyAKGqU4tqOFX6qSZ1GAfk7JBre_XZvc7fWp-IMEV8mHt36lN5UrjYLH3lX3ce9kM0fHk1eue7nPbFpppkDBiCw-i0hEFAXiypeZEko-gve73jyxvA97kxYEpXq08Vd9Y.0oQ42BfLOY6FT72JmGYCppvn7gCYxSFdJAbgnjPv-2w&amp;dib_tag=se&amp;keywords=LiPo+battery+34mm+by+22mm&amp;qid=1748523183&amp;sprefix=lipo+battery+34mm+by+22mm%2Caps%2C155&amp;sr=8-11" TargetMode="External"/><Relationship Id="rId5" Type="http://schemas.openxmlformats.org/officeDocument/2006/relationships/hyperlink" Target="https://it.farnell.com/multicomp-pro/wa04x103-jtl/rete-resistiva-isol-20k-0-063w/dp/3994601" TargetMode="External"/><Relationship Id="rId15" Type="http://schemas.openxmlformats.org/officeDocument/2006/relationships/hyperlink" Target="https://it.rs-online.com/web/p/sensori-di-movimento-ci/1106555?gb=s" TargetMode="External"/><Relationship Id="rId23" Type="http://schemas.openxmlformats.org/officeDocument/2006/relationships/hyperlink" Target="https://it.rs-online.com/web/p/condensatori-ceramici-multistrato/2608736" TargetMode="External"/><Relationship Id="rId28" Type="http://schemas.openxmlformats.org/officeDocument/2006/relationships/hyperlink" Target="https://it.rs-online.com/web/p/condensatori-ceramici-multistrato/9156294P?gb=s" TargetMode="External"/><Relationship Id="rId36" Type="http://schemas.openxmlformats.org/officeDocument/2006/relationships/hyperlink" Target="https://it.farnell.com/en-IT/panasonic/era2veb5101x/res-5k1-0-1-0-063w-0402/dp/3601257RL" TargetMode="External"/><Relationship Id="rId10" Type="http://schemas.openxmlformats.org/officeDocument/2006/relationships/hyperlink" Target="https://it.rs-online.com/web/p/mosfet/2528490?gb=s" TargetMode="External"/><Relationship Id="rId19" Type="http://schemas.openxmlformats.org/officeDocument/2006/relationships/hyperlink" Target="https://it.farnell.com/molex/220097-0271/conn-zoccolo-2pos-1fila-1-25mm/dp/4335492" TargetMode="External"/><Relationship Id="rId31" Type="http://schemas.openxmlformats.org/officeDocument/2006/relationships/hyperlink" Target="https://it.rs-online.com/web/p/resistenze-smd/8072141" TargetMode="External"/><Relationship Id="rId44" Type="http://schemas.openxmlformats.org/officeDocument/2006/relationships/hyperlink" Target="https://www.mouser.it/ProductDetail/Torex-Semiconductor/XC6220B331ER-G?qs=AsjdqWjXhJ%252BJj%252BEWI7nHIg%3D%3D&amp;srsltid=AfmBOoqPkrKtmQov5B_-LENwE_Bu-AYpHOphs-d5kCDYPvZwTEWmjIJO" TargetMode="External"/><Relationship Id="rId4" Type="http://schemas.openxmlformats.org/officeDocument/2006/relationships/hyperlink" Target="https://it.farnell.com/abracon/abm8-40-000mhz-10-b1u-t/cristallo-40mhz-10pf-smd-3-2-x/dp/3228515" TargetMode="External"/><Relationship Id="rId9" Type="http://schemas.openxmlformats.org/officeDocument/2006/relationships/hyperlink" Target="https://it.farnell.com/torex/xc6220b331er-g/ic-ldo-1a-3-3v-usp-6c/dp/1830941" TargetMode="External"/><Relationship Id="rId14" Type="http://schemas.openxmlformats.org/officeDocument/2006/relationships/hyperlink" Target="https://it.farnell.com/analog-devices/max30208clb-t/sensore-temperatura-digitale-0/dp/3547789" TargetMode="External"/><Relationship Id="rId22" Type="http://schemas.openxmlformats.org/officeDocument/2006/relationships/hyperlink" Target="https://it.rs-online.com/web/p/condensatori-ceramici-multistrato/8015139P" TargetMode="External"/><Relationship Id="rId27" Type="http://schemas.openxmlformats.org/officeDocument/2006/relationships/hyperlink" Target="https://it.rs-online.com/web/p/condensatori-ceramici-multistrato/1213872" TargetMode="External"/><Relationship Id="rId30" Type="http://schemas.openxmlformats.org/officeDocument/2006/relationships/hyperlink" Target="https://it.farnell.com/en-IT/koa/sg73p1ewttp47r0f/res-47r-1-0-25w-thick-film-0402/dp/3931657" TargetMode="External"/><Relationship Id="rId35" Type="http://schemas.openxmlformats.org/officeDocument/2006/relationships/hyperlink" Target="https://it.farnell.com/en-IT/panasonic/era2veb4700x/res-470r-0-1-0-063w-0402/dp/3601242RL" TargetMode="External"/><Relationship Id="rId43" Type="http://schemas.openxmlformats.org/officeDocument/2006/relationships/hyperlink" Target="https://it.farnell.com/stmicroelectronics/bat60jfilm/diodo-schottky-3a-10v-smd/dp/1467544" TargetMode="External"/><Relationship Id="rId48" Type="http://schemas.microsoft.com/office/2017/10/relationships/threadedComment" Target="../threadedComments/threadedComment1.xml"/><Relationship Id="rId8" Type="http://schemas.openxmlformats.org/officeDocument/2006/relationships/hyperlink" Target="https://it.rs-online.com/web/p/induttori-smd/7922718" TargetMode="External"/><Relationship Id="rId3" Type="http://schemas.openxmlformats.org/officeDocument/2006/relationships/hyperlink" Target="https://it.rs-online.com/web/p/condensatori-ceramici-multistrato/2420998P" TargetMode="External"/><Relationship Id="rId12" Type="http://schemas.openxmlformats.org/officeDocument/2006/relationships/hyperlink" Target="https://it.farnell.com/diodes-inc/d12v0ha1u2lp-7b/diodo-protezione-esd-12v-x1-dfn1006/dp/3405100" TargetMode="External"/><Relationship Id="rId17" Type="http://schemas.openxmlformats.org/officeDocument/2006/relationships/hyperlink" Target="https://it.farnell.com/molex/217179-0001/conn-usb-2-0-c-presa-16pos-smt/dp/3702965" TargetMode="External"/><Relationship Id="rId25" Type="http://schemas.openxmlformats.org/officeDocument/2006/relationships/hyperlink" Target="https://it.rs-online.com/web/p/condensatori-ceramici-multistrato/1335648" TargetMode="External"/><Relationship Id="rId33" Type="http://schemas.openxmlformats.org/officeDocument/2006/relationships/hyperlink" Target="https://it.farnell.com/en-IT/multicomp-pro/mp005055/res-aec-q200-220r-0-1-1-16w-0402/dp/3517657RL" TargetMode="External"/><Relationship Id="rId38" Type="http://schemas.openxmlformats.org/officeDocument/2006/relationships/hyperlink" Target="https://it.rs-online.com/web/p/resistenze-smd/2424018?gb=s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it.rs-online.com/web/p/pasta-saldante/1466194" TargetMode="External"/><Relationship Id="rId41" Type="http://schemas.openxmlformats.org/officeDocument/2006/relationships/hyperlink" Target="https://it.rs-online.com/web/p/condensatori-ceramici-multistrato/2633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316B-276A-4512-AE58-4E4E4720A75A}">
  <dimension ref="A1:J51"/>
  <sheetViews>
    <sheetView tabSelected="1" topLeftCell="E27" workbookViewId="0">
      <selection activeCell="J47" activeCellId="1" sqref="A11 J47"/>
    </sheetView>
  </sheetViews>
  <sheetFormatPr defaultRowHeight="14.45"/>
  <cols>
    <col min="1" max="1" width="25.7109375" customWidth="1"/>
    <col min="2" max="2" width="7.28515625" style="6" customWidth="1"/>
    <col min="3" max="3" width="15.42578125" style="6" customWidth="1"/>
    <col min="4" max="4" width="11.28515625" style="6" customWidth="1"/>
    <col min="5" max="5" width="37" customWidth="1"/>
    <col min="6" max="6" width="26.7109375" style="6" customWidth="1"/>
    <col min="7" max="7" width="32.140625" customWidth="1"/>
    <col min="8" max="9" width="22.85546875" customWidth="1"/>
    <col min="10" max="10" width="38.5703125" customWidth="1"/>
  </cols>
  <sheetData>
    <row r="1" spans="1:10">
      <c r="A1" t="s">
        <v>0</v>
      </c>
      <c r="B1" s="6" t="s">
        <v>1</v>
      </c>
      <c r="C1" s="6" t="s">
        <v>2</v>
      </c>
      <c r="D1" s="6" t="s">
        <v>3</v>
      </c>
      <c r="E1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6">
        <v>8</v>
      </c>
      <c r="C2" s="6">
        <f>(#REF!*12)</f>
        <v>96</v>
      </c>
      <c r="D2" s="13">
        <v>250</v>
      </c>
      <c r="E2" t="s">
        <v>11</v>
      </c>
      <c r="F2" s="6" t="s">
        <v>12</v>
      </c>
      <c r="G2" t="s">
        <v>13</v>
      </c>
      <c r="H2" t="s">
        <v>14</v>
      </c>
      <c r="I2" t="s">
        <v>15</v>
      </c>
      <c r="J2" s="1" t="s">
        <v>16</v>
      </c>
    </row>
    <row r="3" spans="1:10">
      <c r="A3" t="s">
        <v>17</v>
      </c>
      <c r="B3" s="6">
        <v>12</v>
      </c>
      <c r="C3" s="6">
        <f>(#REF!*12)</f>
        <v>144</v>
      </c>
      <c r="D3" s="9" t="s">
        <v>18</v>
      </c>
      <c r="E3" t="s">
        <v>19</v>
      </c>
      <c r="F3" s="6" t="s">
        <v>20</v>
      </c>
      <c r="G3" t="s">
        <v>13</v>
      </c>
      <c r="H3" t="s">
        <v>21</v>
      </c>
      <c r="I3" t="s">
        <v>22</v>
      </c>
      <c r="J3" s="1" t="s">
        <v>23</v>
      </c>
    </row>
    <row r="4" spans="1:10">
      <c r="A4" t="s">
        <v>24</v>
      </c>
      <c r="B4" s="6">
        <v>1</v>
      </c>
      <c r="C4" s="6">
        <f>(#REF!*12)</f>
        <v>12</v>
      </c>
      <c r="D4" s="13">
        <v>100</v>
      </c>
      <c r="E4" t="s">
        <v>25</v>
      </c>
      <c r="F4" s="6" t="s">
        <v>26</v>
      </c>
      <c r="G4" t="s">
        <v>13</v>
      </c>
      <c r="H4" t="s">
        <v>21</v>
      </c>
      <c r="I4" t="s">
        <v>27</v>
      </c>
      <c r="J4" s="1" t="s">
        <v>28</v>
      </c>
    </row>
    <row r="5" spans="1:10">
      <c r="A5" t="s">
        <v>29</v>
      </c>
      <c r="B5" s="6">
        <v>16</v>
      </c>
      <c r="C5" s="6">
        <f>(#REF!*12)</f>
        <v>192</v>
      </c>
      <c r="D5" s="13">
        <v>500</v>
      </c>
      <c r="E5" t="s">
        <v>30</v>
      </c>
      <c r="F5" s="6" t="s">
        <v>31</v>
      </c>
      <c r="G5" t="s">
        <v>13</v>
      </c>
      <c r="H5" t="s">
        <v>14</v>
      </c>
      <c r="I5" t="s">
        <v>32</v>
      </c>
      <c r="J5" s="1" t="s">
        <v>33</v>
      </c>
    </row>
    <row r="6" spans="1:10">
      <c r="A6" t="s">
        <v>34</v>
      </c>
      <c r="B6" s="6">
        <v>1</v>
      </c>
      <c r="C6" s="6">
        <f>(#REF!*12)</f>
        <v>12</v>
      </c>
      <c r="D6" s="13">
        <v>100</v>
      </c>
      <c r="E6" t="s">
        <v>35</v>
      </c>
      <c r="F6" s="6" t="s">
        <v>36</v>
      </c>
      <c r="G6" t="s">
        <v>13</v>
      </c>
      <c r="H6" t="s">
        <v>37</v>
      </c>
      <c r="I6" t="s">
        <v>38</v>
      </c>
      <c r="J6" s="1" t="s">
        <v>39</v>
      </c>
    </row>
    <row r="7" spans="1:10">
      <c r="A7" t="s">
        <v>40</v>
      </c>
      <c r="B7" s="6">
        <v>1</v>
      </c>
      <c r="C7" s="6">
        <f>(#REF!*12)</f>
        <v>12</v>
      </c>
      <c r="D7" s="9" t="s">
        <v>18</v>
      </c>
      <c r="E7" t="s">
        <v>41</v>
      </c>
      <c r="F7" s="6" t="s">
        <v>42</v>
      </c>
      <c r="G7" t="s">
        <v>13</v>
      </c>
      <c r="H7" t="s">
        <v>21</v>
      </c>
      <c r="I7" t="s">
        <v>43</v>
      </c>
      <c r="J7" s="1" t="s">
        <v>44</v>
      </c>
    </row>
    <row r="8" spans="1:10">
      <c r="A8" t="s">
        <v>45</v>
      </c>
      <c r="B8" s="6">
        <v>2</v>
      </c>
      <c r="C8" s="6">
        <f>(#REF!*12)</f>
        <v>24</v>
      </c>
      <c r="D8" s="9" t="s">
        <v>18</v>
      </c>
      <c r="E8" t="s">
        <v>46</v>
      </c>
      <c r="F8" s="6" t="s">
        <v>47</v>
      </c>
      <c r="G8" t="s">
        <v>13</v>
      </c>
      <c r="H8" t="s">
        <v>14</v>
      </c>
      <c r="I8" t="s">
        <v>48</v>
      </c>
      <c r="J8" s="1" t="s">
        <v>49</v>
      </c>
    </row>
    <row r="9" spans="1:10">
      <c r="A9" t="s">
        <v>50</v>
      </c>
      <c r="B9" s="6">
        <v>2</v>
      </c>
      <c r="C9" s="6">
        <f>(#REF!*12)</f>
        <v>24</v>
      </c>
      <c r="D9" s="13">
        <v>100</v>
      </c>
      <c r="E9" t="s">
        <v>51</v>
      </c>
      <c r="F9" s="6" t="s">
        <v>52</v>
      </c>
      <c r="G9" t="s">
        <v>13</v>
      </c>
      <c r="H9" t="s">
        <v>21</v>
      </c>
      <c r="I9" t="s">
        <v>53</v>
      </c>
      <c r="J9" s="1" t="s">
        <v>54</v>
      </c>
    </row>
    <row r="10" spans="1:10">
      <c r="A10" t="s">
        <v>55</v>
      </c>
      <c r="B10" s="6">
        <v>2</v>
      </c>
      <c r="C10" s="6">
        <f>(#REF!*12)</f>
        <v>24</v>
      </c>
      <c r="D10" s="13">
        <v>500</v>
      </c>
      <c r="E10" t="s">
        <v>56</v>
      </c>
      <c r="F10" s="6" t="s">
        <v>57</v>
      </c>
      <c r="G10" t="s">
        <v>13</v>
      </c>
      <c r="H10" t="s">
        <v>58</v>
      </c>
      <c r="I10" t="s">
        <v>59</v>
      </c>
      <c r="J10" s="1" t="s">
        <v>60</v>
      </c>
    </row>
    <row r="11" spans="1:10">
      <c r="B11" s="6">
        <v>2</v>
      </c>
      <c r="C11" s="6">
        <f>(#REF!*12)</f>
        <v>24</v>
      </c>
      <c r="D11" s="13">
        <v>200</v>
      </c>
      <c r="E11" t="s">
        <v>61</v>
      </c>
      <c r="F11" s="6" t="s">
        <v>62</v>
      </c>
      <c r="G11" t="s">
        <v>13</v>
      </c>
      <c r="H11" t="s">
        <v>58</v>
      </c>
      <c r="I11" t="s">
        <v>63</v>
      </c>
      <c r="J11" s="1" t="s">
        <v>64</v>
      </c>
    </row>
    <row r="12" spans="1:10">
      <c r="A12" t="s">
        <v>65</v>
      </c>
      <c r="B12" s="6">
        <v>1</v>
      </c>
      <c r="C12" s="6">
        <f>(#REF!*12)</f>
        <v>12</v>
      </c>
      <c r="D12" s="13">
        <v>100</v>
      </c>
      <c r="E12" t="s">
        <v>66</v>
      </c>
      <c r="F12" s="6" t="s">
        <v>67</v>
      </c>
      <c r="G12" t="s">
        <v>13</v>
      </c>
      <c r="H12" t="s">
        <v>68</v>
      </c>
      <c r="I12" t="s">
        <v>69</v>
      </c>
      <c r="J12" s="1" t="s">
        <v>70</v>
      </c>
    </row>
    <row r="13" spans="1:10">
      <c r="A13" t="s">
        <v>71</v>
      </c>
      <c r="B13" s="6">
        <v>3</v>
      </c>
      <c r="C13" s="6">
        <f>(#REF!*12)</f>
        <v>36</v>
      </c>
      <c r="D13" s="13">
        <v>50</v>
      </c>
      <c r="E13" t="s">
        <v>72</v>
      </c>
      <c r="F13" s="6" t="s">
        <v>73</v>
      </c>
      <c r="G13" t="s">
        <v>74</v>
      </c>
      <c r="H13" t="s">
        <v>58</v>
      </c>
      <c r="I13" t="s">
        <v>75</v>
      </c>
      <c r="J13" s="1" t="s">
        <v>76</v>
      </c>
    </row>
    <row r="14" spans="1:10">
      <c r="A14" t="s">
        <v>77</v>
      </c>
      <c r="B14" s="6">
        <v>1</v>
      </c>
      <c r="C14" s="6">
        <f>(#REF!*12)</f>
        <v>12</v>
      </c>
      <c r="D14" s="13">
        <v>20</v>
      </c>
      <c r="E14" t="s">
        <v>78</v>
      </c>
      <c r="F14" s="6" t="s">
        <v>79</v>
      </c>
      <c r="G14" t="s">
        <v>80</v>
      </c>
      <c r="H14" t="s">
        <v>58</v>
      </c>
      <c r="I14" t="s">
        <v>81</v>
      </c>
      <c r="J14" s="1" t="s">
        <v>82</v>
      </c>
    </row>
    <row r="15" spans="1:10">
      <c r="A15" t="s">
        <v>83</v>
      </c>
      <c r="B15" s="6">
        <v>1</v>
      </c>
      <c r="C15" s="6">
        <f>(#REF!*12)</f>
        <v>12</v>
      </c>
      <c r="D15" s="13">
        <v>50</v>
      </c>
      <c r="E15" t="s">
        <v>84</v>
      </c>
      <c r="F15" s="6" t="s">
        <v>85</v>
      </c>
      <c r="G15" t="s">
        <v>86</v>
      </c>
      <c r="H15" t="s">
        <v>87</v>
      </c>
      <c r="I15" t="s">
        <v>88</v>
      </c>
      <c r="J15" s="1" t="s">
        <v>89</v>
      </c>
    </row>
    <row r="16" spans="1:10">
      <c r="A16" t="s">
        <v>90</v>
      </c>
      <c r="B16" s="6">
        <v>2</v>
      </c>
      <c r="C16" s="6">
        <f>(#REF!*12)</f>
        <v>24</v>
      </c>
      <c r="D16" s="13">
        <v>30</v>
      </c>
      <c r="E16" t="s">
        <v>91</v>
      </c>
      <c r="F16" s="6" t="s">
        <v>92</v>
      </c>
      <c r="G16" t="s">
        <v>93</v>
      </c>
      <c r="H16" t="s">
        <v>94</v>
      </c>
      <c r="I16" t="s">
        <v>95</v>
      </c>
      <c r="J16" s="1" t="s">
        <v>96</v>
      </c>
    </row>
    <row r="17" spans="1:10">
      <c r="A17" t="s">
        <v>97</v>
      </c>
      <c r="B17" s="6">
        <v>5</v>
      </c>
      <c r="C17" s="6">
        <f>(#REF!*12)</f>
        <v>60</v>
      </c>
      <c r="D17" s="13">
        <v>60</v>
      </c>
      <c r="E17" t="s">
        <v>98</v>
      </c>
      <c r="F17" s="6" t="s">
        <v>99</v>
      </c>
      <c r="G17" t="s">
        <v>93</v>
      </c>
      <c r="H17" t="s">
        <v>94</v>
      </c>
      <c r="I17" t="s">
        <v>100</v>
      </c>
      <c r="J17" s="1" t="s">
        <v>101</v>
      </c>
    </row>
    <row r="18" spans="1:10">
      <c r="A18" t="s">
        <v>102</v>
      </c>
      <c r="B18" s="6">
        <v>11</v>
      </c>
      <c r="C18" s="6">
        <f>(#REF!*12)</f>
        <v>132</v>
      </c>
      <c r="D18" s="13">
        <v>200</v>
      </c>
      <c r="E18" t="s">
        <v>103</v>
      </c>
      <c r="F18" s="6" t="s">
        <v>104</v>
      </c>
      <c r="G18" t="s">
        <v>105</v>
      </c>
      <c r="H18" t="s">
        <v>106</v>
      </c>
      <c r="I18" t="s">
        <v>107</v>
      </c>
      <c r="J18" s="1" t="s">
        <v>108</v>
      </c>
    </row>
    <row r="19" spans="1:10">
      <c r="A19" t="s">
        <v>109</v>
      </c>
      <c r="B19" s="6">
        <v>1</v>
      </c>
      <c r="C19" s="6">
        <f>(#REF!*12)</f>
        <v>12</v>
      </c>
      <c r="D19" s="13">
        <v>100</v>
      </c>
      <c r="E19" t="s">
        <v>110</v>
      </c>
      <c r="F19" s="6" t="s">
        <v>111</v>
      </c>
      <c r="G19" t="s">
        <v>105</v>
      </c>
      <c r="H19" t="s">
        <v>112</v>
      </c>
      <c r="I19" t="s">
        <v>113</v>
      </c>
      <c r="J19" s="1" t="s">
        <v>114</v>
      </c>
    </row>
    <row r="20" spans="1:10">
      <c r="A20" t="s">
        <v>115</v>
      </c>
      <c r="B20" s="6">
        <v>2</v>
      </c>
      <c r="C20" s="6">
        <f>(#REF!*12)</f>
        <v>24</v>
      </c>
      <c r="D20" s="13">
        <v>100</v>
      </c>
      <c r="E20" t="s">
        <v>116</v>
      </c>
      <c r="F20" s="6" t="s">
        <v>117</v>
      </c>
      <c r="G20" t="s">
        <v>105</v>
      </c>
      <c r="H20" t="s">
        <v>106</v>
      </c>
      <c r="I20" t="s">
        <v>118</v>
      </c>
      <c r="J20" s="1" t="s">
        <v>119</v>
      </c>
    </row>
    <row r="21" spans="1:10">
      <c r="A21" t="s">
        <v>120</v>
      </c>
      <c r="B21" s="6">
        <v>10</v>
      </c>
      <c r="C21" s="6">
        <f>(#REF!*12)</f>
        <v>120</v>
      </c>
      <c r="D21" s="13">
        <v>500</v>
      </c>
      <c r="E21" t="s">
        <v>121</v>
      </c>
      <c r="F21" s="6" t="s">
        <v>122</v>
      </c>
      <c r="G21" t="s">
        <v>105</v>
      </c>
      <c r="H21" t="s">
        <v>106</v>
      </c>
      <c r="I21" t="s">
        <v>123</v>
      </c>
      <c r="J21" s="1" t="s">
        <v>124</v>
      </c>
    </row>
    <row r="22" spans="1:10">
      <c r="A22" t="s">
        <v>125</v>
      </c>
      <c r="B22" s="6">
        <v>2</v>
      </c>
      <c r="C22" s="6">
        <f>(#REF!*12)</f>
        <v>24</v>
      </c>
      <c r="D22" s="13">
        <v>100</v>
      </c>
      <c r="E22" t="s">
        <v>126</v>
      </c>
      <c r="F22" s="6" t="s">
        <v>127</v>
      </c>
      <c r="G22" t="s">
        <v>105</v>
      </c>
      <c r="H22" t="s">
        <v>128</v>
      </c>
      <c r="I22" t="s">
        <v>129</v>
      </c>
      <c r="J22" s="1" t="s">
        <v>130</v>
      </c>
    </row>
    <row r="23" spans="1:10">
      <c r="A23" t="s">
        <v>131</v>
      </c>
      <c r="B23" s="6">
        <v>3</v>
      </c>
      <c r="C23" s="6">
        <f>(#REF!*12)</f>
        <v>36</v>
      </c>
      <c r="D23" s="13">
        <v>40</v>
      </c>
      <c r="E23" t="s">
        <v>132</v>
      </c>
      <c r="F23" s="6" t="s">
        <v>133</v>
      </c>
      <c r="G23" t="s">
        <v>134</v>
      </c>
      <c r="H23" t="s">
        <v>106</v>
      </c>
      <c r="I23" t="s">
        <v>135</v>
      </c>
      <c r="J23" s="1" t="s">
        <v>136</v>
      </c>
    </row>
    <row r="24" spans="1:10">
      <c r="A24" t="s">
        <v>137</v>
      </c>
      <c r="B24" s="6">
        <v>1</v>
      </c>
      <c r="C24" s="6">
        <f>(#REF!*12)</f>
        <v>12</v>
      </c>
      <c r="D24" s="14">
        <v>12</v>
      </c>
      <c r="E24" t="s">
        <v>138</v>
      </c>
      <c r="F24" s="6" t="s">
        <v>139</v>
      </c>
      <c r="G24" t="s">
        <v>140</v>
      </c>
      <c r="H24" t="s">
        <v>141</v>
      </c>
      <c r="I24" t="s">
        <v>142</v>
      </c>
      <c r="J24" s="1" t="s">
        <v>143</v>
      </c>
    </row>
    <row r="25" spans="1:10">
      <c r="A25" t="s">
        <v>144</v>
      </c>
      <c r="B25" s="6">
        <v>1</v>
      </c>
      <c r="C25" s="6">
        <f>(#REF!*12)</f>
        <v>12</v>
      </c>
      <c r="D25" s="13">
        <v>20</v>
      </c>
      <c r="E25" t="s">
        <v>145</v>
      </c>
      <c r="F25" s="6" t="s">
        <v>146</v>
      </c>
      <c r="G25" t="s">
        <v>147</v>
      </c>
      <c r="H25" t="s">
        <v>141</v>
      </c>
      <c r="I25" t="s">
        <v>146</v>
      </c>
      <c r="J25" s="1" t="s">
        <v>148</v>
      </c>
    </row>
    <row r="26" spans="1:10">
      <c r="A26" s="5" t="s">
        <v>149</v>
      </c>
      <c r="B26" s="7">
        <v>1</v>
      </c>
      <c r="C26" s="7">
        <f>(#REF!*12)</f>
        <v>12</v>
      </c>
      <c r="D26" s="15">
        <v>12</v>
      </c>
      <c r="E26" s="5" t="s">
        <v>150</v>
      </c>
      <c r="F26" s="7" t="s">
        <v>151</v>
      </c>
      <c r="G26" s="5" t="s">
        <v>152</v>
      </c>
      <c r="H26" s="5" t="s">
        <v>153</v>
      </c>
      <c r="I26" s="5" t="s">
        <v>154</v>
      </c>
      <c r="J26" s="2" t="s">
        <v>155</v>
      </c>
    </row>
    <row r="27" spans="1:10">
      <c r="A27" s="10" t="s">
        <v>149</v>
      </c>
      <c r="B27" s="11">
        <v>1</v>
      </c>
      <c r="C27" s="11">
        <f>(#REF!*12)</f>
        <v>12</v>
      </c>
      <c r="D27" s="12">
        <v>12</v>
      </c>
      <c r="E27" s="10" t="s">
        <v>150</v>
      </c>
      <c r="F27" s="11" t="s">
        <v>151</v>
      </c>
      <c r="G27" s="10" t="s">
        <v>152</v>
      </c>
      <c r="H27" s="10" t="s">
        <v>153</v>
      </c>
      <c r="I27" s="10" t="s">
        <v>154</v>
      </c>
      <c r="J27" s="2" t="s">
        <v>156</v>
      </c>
    </row>
    <row r="28" spans="1:10">
      <c r="C28" s="6">
        <f>(#REF!*12)</f>
        <v>0</v>
      </c>
    </row>
    <row r="29" spans="1:10">
      <c r="A29" t="s">
        <v>157</v>
      </c>
      <c r="B29" s="6">
        <v>1</v>
      </c>
      <c r="C29" s="6">
        <f>(#REF!*12)</f>
        <v>12</v>
      </c>
      <c r="D29" s="6">
        <v>20</v>
      </c>
      <c r="E29" t="s">
        <v>158</v>
      </c>
      <c r="F29" s="6" t="s">
        <v>159</v>
      </c>
      <c r="G29" t="s">
        <v>160</v>
      </c>
      <c r="H29" t="s">
        <v>141</v>
      </c>
      <c r="I29" t="s">
        <v>161</v>
      </c>
      <c r="J29" s="1" t="s">
        <v>162</v>
      </c>
    </row>
    <row r="30" spans="1:10">
      <c r="A30" t="s">
        <v>163</v>
      </c>
      <c r="B30" s="6">
        <v>5</v>
      </c>
      <c r="C30" s="6">
        <f>(#REF!*12)</f>
        <v>60</v>
      </c>
      <c r="D30" s="6">
        <v>70</v>
      </c>
      <c r="E30" t="s">
        <v>164</v>
      </c>
      <c r="F30" s="6" t="s">
        <v>165</v>
      </c>
      <c r="G30" t="s">
        <v>166</v>
      </c>
      <c r="H30" t="s">
        <v>167</v>
      </c>
      <c r="I30" t="s">
        <v>165</v>
      </c>
      <c r="J30" s="1" t="s">
        <v>168</v>
      </c>
    </row>
    <row r="31" spans="1:10">
      <c r="A31" t="s">
        <v>149</v>
      </c>
      <c r="B31" s="6">
        <v>2</v>
      </c>
      <c r="C31" s="6">
        <f>(#REF!*12)</f>
        <v>24</v>
      </c>
      <c r="E31" t="s">
        <v>150</v>
      </c>
      <c r="F31" s="6" t="s">
        <v>151</v>
      </c>
      <c r="G31" t="s">
        <v>152</v>
      </c>
      <c r="H31" t="s">
        <v>153</v>
      </c>
      <c r="I31" t="s">
        <v>169</v>
      </c>
      <c r="J31" s="1" t="s">
        <v>170</v>
      </c>
    </row>
    <row r="32" spans="1:10">
      <c r="A32" t="s">
        <v>171</v>
      </c>
      <c r="B32" s="6">
        <v>1</v>
      </c>
      <c r="C32" s="6">
        <f>(#REF!*12)</f>
        <v>12</v>
      </c>
      <c r="D32" s="6">
        <v>12</v>
      </c>
      <c r="E32" t="s">
        <v>172</v>
      </c>
      <c r="F32" s="6" t="s">
        <v>173</v>
      </c>
      <c r="G32" t="s">
        <v>174</v>
      </c>
      <c r="H32" t="s">
        <v>153</v>
      </c>
      <c r="I32" t="s">
        <v>175</v>
      </c>
      <c r="J32" s="1" t="s">
        <v>176</v>
      </c>
    </row>
    <row r="33" spans="1:10">
      <c r="A33" t="s">
        <v>177</v>
      </c>
      <c r="B33" s="6">
        <v>1</v>
      </c>
      <c r="C33" s="6">
        <f>(#REF!*12)</f>
        <v>12</v>
      </c>
      <c r="D33" s="6">
        <v>12</v>
      </c>
      <c r="E33" t="s">
        <v>178</v>
      </c>
      <c r="F33" s="6" t="s">
        <v>179</v>
      </c>
      <c r="G33" t="s">
        <v>180</v>
      </c>
      <c r="H33" t="s">
        <v>153</v>
      </c>
      <c r="I33" t="s">
        <v>181</v>
      </c>
      <c r="J33" s="1" t="s">
        <v>182</v>
      </c>
    </row>
    <row r="34" spans="1:10">
      <c r="A34" t="s">
        <v>102</v>
      </c>
      <c r="B34" s="6">
        <v>11</v>
      </c>
      <c r="C34" s="6">
        <f>(#REF!*12)</f>
        <v>132</v>
      </c>
      <c r="D34" s="6">
        <v>150</v>
      </c>
      <c r="E34" t="s">
        <v>183</v>
      </c>
      <c r="F34" s="6" t="s">
        <v>184</v>
      </c>
      <c r="G34" t="s">
        <v>105</v>
      </c>
      <c r="H34" t="s">
        <v>185</v>
      </c>
      <c r="I34" t="s">
        <v>186</v>
      </c>
      <c r="J34" s="1" t="s">
        <v>187</v>
      </c>
    </row>
    <row r="35" spans="1:10">
      <c r="A35" t="s">
        <v>102</v>
      </c>
      <c r="B35" s="6">
        <v>11</v>
      </c>
      <c r="C35" s="6">
        <f>(#REF!*12)</f>
        <v>132</v>
      </c>
      <c r="D35" s="6">
        <v>150</v>
      </c>
      <c r="E35" t="s">
        <v>188</v>
      </c>
      <c r="F35" s="6" t="s">
        <v>189</v>
      </c>
      <c r="G35" t="s">
        <v>105</v>
      </c>
      <c r="H35" t="s">
        <v>106</v>
      </c>
      <c r="I35" t="s">
        <v>190</v>
      </c>
      <c r="J35" s="1" t="s">
        <v>191</v>
      </c>
    </row>
    <row r="36" spans="1:10">
      <c r="A36" t="s">
        <v>192</v>
      </c>
      <c r="B36" s="6">
        <v>1</v>
      </c>
      <c r="C36" s="6">
        <f>(#REF!*12)</f>
        <v>12</v>
      </c>
      <c r="D36" s="6">
        <v>100</v>
      </c>
      <c r="E36" t="s">
        <v>193</v>
      </c>
      <c r="F36" s="6" t="s">
        <v>194</v>
      </c>
      <c r="G36" t="s">
        <v>105</v>
      </c>
      <c r="H36" t="s">
        <v>106</v>
      </c>
      <c r="I36" t="s">
        <v>195</v>
      </c>
      <c r="J36" s="1" t="s">
        <v>196</v>
      </c>
    </row>
    <row r="37" spans="1:10">
      <c r="A37" t="s">
        <v>197</v>
      </c>
      <c r="B37" s="6">
        <v>3</v>
      </c>
      <c r="C37" s="6">
        <f>(#REF!*12)</f>
        <v>36</v>
      </c>
      <c r="D37" s="6">
        <v>100</v>
      </c>
      <c r="E37" t="s">
        <v>198</v>
      </c>
      <c r="F37" s="6" t="s">
        <v>199</v>
      </c>
      <c r="G37" t="s">
        <v>105</v>
      </c>
      <c r="H37" t="s">
        <v>106</v>
      </c>
      <c r="I37" t="s">
        <v>200</v>
      </c>
      <c r="J37" s="1" t="s">
        <v>201</v>
      </c>
    </row>
    <row r="38" spans="1:10">
      <c r="A38" t="s">
        <v>202</v>
      </c>
      <c r="B38" s="6">
        <v>1</v>
      </c>
      <c r="C38" s="6">
        <f>(#REF!*12)</f>
        <v>12</v>
      </c>
      <c r="D38" s="6">
        <v>20</v>
      </c>
      <c r="E38" t="s">
        <v>203</v>
      </c>
      <c r="F38" s="6" t="s">
        <v>204</v>
      </c>
      <c r="G38" t="s">
        <v>105</v>
      </c>
      <c r="H38" t="s">
        <v>205</v>
      </c>
      <c r="I38" t="s">
        <v>206</v>
      </c>
      <c r="J38" s="1" t="s">
        <v>207</v>
      </c>
    </row>
    <row r="39" spans="1:10">
      <c r="A39" t="s">
        <v>208</v>
      </c>
      <c r="B39" s="6">
        <v>1</v>
      </c>
      <c r="C39" s="6">
        <f>(#REF!*12)</f>
        <v>12</v>
      </c>
      <c r="D39" s="6">
        <v>20</v>
      </c>
      <c r="E39" t="s">
        <v>209</v>
      </c>
      <c r="F39" s="6" t="s">
        <v>122</v>
      </c>
      <c r="G39" t="s">
        <v>210</v>
      </c>
      <c r="H39" t="s">
        <v>185</v>
      </c>
      <c r="I39" t="s">
        <v>211</v>
      </c>
      <c r="J39" s="1" t="s">
        <v>212</v>
      </c>
    </row>
    <row r="40" spans="1:10">
      <c r="A40" s="21" t="s">
        <v>213</v>
      </c>
      <c r="B40" s="22">
        <v>2</v>
      </c>
      <c r="C40" s="23">
        <f>(#REF!*12)</f>
        <v>24</v>
      </c>
      <c r="D40" s="22"/>
      <c r="E40" s="21" t="s">
        <v>214</v>
      </c>
      <c r="F40" s="22" t="s">
        <v>215</v>
      </c>
      <c r="G40" s="21" t="s">
        <v>216</v>
      </c>
      <c r="H40" s="21" t="s">
        <v>217</v>
      </c>
      <c r="I40" s="21" t="s">
        <v>218</v>
      </c>
      <c r="J40" s="24" t="s">
        <v>219</v>
      </c>
    </row>
    <row r="41" spans="1:10">
      <c r="A41" t="s">
        <v>220</v>
      </c>
      <c r="B41" s="6">
        <v>1</v>
      </c>
      <c r="C41" s="16">
        <f>(#REF!*12)</f>
        <v>12</v>
      </c>
      <c r="D41" s="6">
        <v>12</v>
      </c>
      <c r="E41" t="s">
        <v>221</v>
      </c>
      <c r="F41" s="6" t="s">
        <v>222</v>
      </c>
      <c r="G41" t="s">
        <v>223</v>
      </c>
      <c r="H41" t="s">
        <v>224</v>
      </c>
      <c r="I41" t="s">
        <v>225</v>
      </c>
      <c r="J41" s="1"/>
    </row>
    <row r="42" spans="1:10">
      <c r="A42" t="s">
        <v>226</v>
      </c>
      <c r="B42" s="6">
        <v>1</v>
      </c>
      <c r="C42" s="16">
        <f>(#REF!*12)</f>
        <v>12</v>
      </c>
      <c r="D42" s="6">
        <v>12</v>
      </c>
      <c r="E42" t="s">
        <v>227</v>
      </c>
      <c r="F42" s="6" t="s">
        <v>228</v>
      </c>
      <c r="G42" t="s">
        <v>229</v>
      </c>
      <c r="H42" t="s">
        <v>230</v>
      </c>
      <c r="I42" t="s">
        <v>231</v>
      </c>
      <c r="J42" s="1" t="s">
        <v>232</v>
      </c>
    </row>
    <row r="43" spans="1:10">
      <c r="A43" t="s">
        <v>233</v>
      </c>
      <c r="B43" s="6">
        <v>1</v>
      </c>
      <c r="C43" s="16">
        <f>(#REF!*12)</f>
        <v>12</v>
      </c>
      <c r="D43" s="6">
        <v>12</v>
      </c>
      <c r="E43" t="s">
        <v>234</v>
      </c>
      <c r="F43" s="6" t="s">
        <v>235</v>
      </c>
      <c r="G43" t="s">
        <v>236</v>
      </c>
      <c r="H43" t="s">
        <v>230</v>
      </c>
      <c r="I43" t="s">
        <v>237</v>
      </c>
      <c r="J43" s="2" t="s">
        <v>238</v>
      </c>
    </row>
    <row r="44" spans="1:10">
      <c r="A44" t="s">
        <v>239</v>
      </c>
      <c r="B44" s="6">
        <v>1</v>
      </c>
      <c r="C44" s="16">
        <f>(#REF!*12)</f>
        <v>12</v>
      </c>
      <c r="D44" s="6">
        <v>12</v>
      </c>
      <c r="E44" t="s">
        <v>240</v>
      </c>
      <c r="F44" s="6" t="s">
        <v>241</v>
      </c>
      <c r="G44" t="s">
        <v>242</v>
      </c>
      <c r="H44" t="s">
        <v>243</v>
      </c>
      <c r="I44" t="s">
        <v>241</v>
      </c>
      <c r="J44" s="1" t="s">
        <v>244</v>
      </c>
    </row>
    <row r="45" spans="1:10">
      <c r="A45" t="s">
        <v>171</v>
      </c>
      <c r="B45" s="6">
        <v>1</v>
      </c>
      <c r="C45" s="16">
        <f>(#REF!*12)</f>
        <v>12</v>
      </c>
      <c r="D45" s="6">
        <v>12</v>
      </c>
      <c r="E45" t="s">
        <v>245</v>
      </c>
      <c r="F45" s="6" t="s">
        <v>173</v>
      </c>
      <c r="G45" t="s">
        <v>174</v>
      </c>
      <c r="H45" t="s">
        <v>153</v>
      </c>
      <c r="I45" t="s">
        <v>246</v>
      </c>
      <c r="J45" s="1" t="s">
        <v>247</v>
      </c>
    </row>
    <row r="47" spans="1:10">
      <c r="A47" t="s">
        <v>248</v>
      </c>
      <c r="B47" s="6">
        <v>1</v>
      </c>
      <c r="C47" s="6">
        <v>12</v>
      </c>
      <c r="D47" s="9" t="s">
        <v>249</v>
      </c>
      <c r="E47" t="s">
        <v>250</v>
      </c>
      <c r="F47" s="6" t="s">
        <v>251</v>
      </c>
      <c r="G47" t="s">
        <v>252</v>
      </c>
      <c r="H47" t="s">
        <v>253</v>
      </c>
      <c r="I47" t="s">
        <v>251</v>
      </c>
      <c r="J47" s="1"/>
    </row>
    <row r="48" spans="1:10">
      <c r="A48" s="17" t="s">
        <v>213</v>
      </c>
      <c r="B48" s="18">
        <v>2</v>
      </c>
      <c r="C48" s="19">
        <v>24</v>
      </c>
      <c r="D48" s="9" t="s">
        <v>249</v>
      </c>
      <c r="E48" s="20" t="s">
        <v>214</v>
      </c>
      <c r="F48" s="18" t="s">
        <v>215</v>
      </c>
      <c r="G48" s="20" t="s">
        <v>216</v>
      </c>
      <c r="H48" s="20" t="s">
        <v>217</v>
      </c>
      <c r="I48" s="20" t="s">
        <v>218</v>
      </c>
      <c r="J48" s="25" t="s">
        <v>254</v>
      </c>
    </row>
    <row r="49" spans="1:10">
      <c r="J49" s="1"/>
    </row>
    <row r="50" spans="1:10">
      <c r="A50" s="3" t="s">
        <v>255</v>
      </c>
      <c r="B50" s="8">
        <v>1</v>
      </c>
      <c r="C50" s="8">
        <v>12</v>
      </c>
      <c r="D50" s="8"/>
      <c r="E50" s="3" t="s">
        <v>256</v>
      </c>
      <c r="F50" s="8" t="s">
        <v>257</v>
      </c>
      <c r="G50" s="3" t="s">
        <v>257</v>
      </c>
      <c r="H50" s="3" t="s">
        <v>258</v>
      </c>
      <c r="I50" s="4">
        <v>602030</v>
      </c>
      <c r="J50" s="26" t="s">
        <v>259</v>
      </c>
    </row>
    <row r="51" spans="1:10">
      <c r="A51" t="s">
        <v>260</v>
      </c>
      <c r="B51" s="6">
        <v>1</v>
      </c>
      <c r="C51" s="6">
        <v>12</v>
      </c>
      <c r="D51" s="6">
        <v>1</v>
      </c>
      <c r="E51" t="s">
        <v>261</v>
      </c>
      <c r="F51" s="6" t="s">
        <v>257</v>
      </c>
      <c r="G51" t="s">
        <v>257</v>
      </c>
      <c r="H51" t="s">
        <v>262</v>
      </c>
      <c r="I51" t="s">
        <v>263</v>
      </c>
      <c r="J51" s="2" t="s">
        <v>264</v>
      </c>
    </row>
  </sheetData>
  <hyperlinks>
    <hyperlink ref="J15" r:id="rId1" xr:uid="{D5820240-C4F2-44B0-9E6D-59C157B15E87}"/>
    <hyperlink ref="J9" r:id="rId2" xr:uid="{A7D66F28-9E90-48C2-87F9-BBA3F2347176}"/>
    <hyperlink ref="J10" r:id="rId3" xr:uid="{8AE50432-5731-46D0-9631-31B882FCC968}"/>
    <hyperlink ref="J44" r:id="rId4" xr:uid="{28E47441-4631-4EC5-BA6E-6A35BB715181}"/>
    <hyperlink ref="J39" r:id="rId5" xr:uid="{B5597076-D874-47F1-AFBA-BFC0A55EDA6A}"/>
    <hyperlink ref="J23" r:id="rId6" xr:uid="{062137DD-65FF-4E0D-8869-96667DC4F9ED}"/>
    <hyperlink ref="J13" r:id="rId7" xr:uid="{B98C2437-FA43-4A0A-84F3-9175509C2658}"/>
    <hyperlink ref="J14" r:id="rId8" xr:uid="{C4FC0194-9626-4851-9237-8732D34F3225}"/>
    <hyperlink ref="J40" r:id="rId9" xr:uid="{2A88A431-8910-43B0-873F-83E77871014C}"/>
    <hyperlink ref="J16" r:id="rId10" xr:uid="{3FB93AED-61CA-49CE-869E-A738A2A58F1A}"/>
    <hyperlink ref="J17" r:id="rId11" xr:uid="{1740DD9D-5F9F-4C0F-91C9-9350652211CB}"/>
    <hyperlink ref="J30" r:id="rId12" xr:uid="{4F7A0BC5-D804-4E69-8F69-F4B172400FD4}"/>
    <hyperlink ref="J42" r:id="rId13" xr:uid="{445307C6-8B47-45C4-8496-6642C2DE53D6}"/>
    <hyperlink ref="J43" r:id="rId14" xr:uid="{5CE86EA2-12F7-4003-8C6B-9F7A7006D286}"/>
    <hyperlink ref="J24" r:id="rId15" xr:uid="{670B7E11-D678-4458-A040-E332B1F39696}"/>
    <hyperlink ref="J25" r:id="rId16" xr:uid="{A70E3C73-4CE3-401C-B40E-EAEEF9EF612C}"/>
    <hyperlink ref="J33" r:id="rId17" xr:uid="{BE9F0FB8-7417-4290-8F96-22AD3A8A524B}"/>
    <hyperlink ref="J31" r:id="rId18" xr:uid="{D13D4FA8-4B9B-45A0-9BA5-52A80C8913BC}"/>
    <hyperlink ref="J32" r:id="rId19" xr:uid="{BA89D88F-5A41-4C4F-AB04-CD57F71EBBFF}"/>
    <hyperlink ref="J51" r:id="rId20" xr:uid="{C536B96F-8273-44AF-81D4-4EE0252BA6A8}"/>
    <hyperlink ref="J3" r:id="rId21" xr:uid="{F6E7CB30-0039-47FA-AD60-13A8F25DC671}"/>
    <hyperlink ref="J8" r:id="rId22" xr:uid="{88A3C5CD-25D8-427F-B3E9-991EEDB7F6B8}"/>
    <hyperlink ref="J7" r:id="rId23" xr:uid="{46191D1F-16A8-4B54-B643-64ED51818E23}"/>
    <hyperlink ref="J21" r:id="rId24" xr:uid="{73572C51-A686-4386-AA96-70B687E91922}"/>
    <hyperlink ref="J5" r:id="rId25" xr:uid="{2E49D604-0A67-426C-9556-B2DAB4E7850E}"/>
    <hyperlink ref="J4" r:id="rId26" xr:uid="{9BB362A6-CEBB-412B-A163-1621FE467BCE}"/>
    <hyperlink ref="J2" r:id="rId27" xr:uid="{A0DDB8FC-0D81-444D-9BDE-1853DC0F6496}"/>
    <hyperlink ref="J6" r:id="rId28" xr:uid="{C7ACB948-0773-46F6-AD2E-90EC73D3400F}"/>
    <hyperlink ref="J12" r:id="rId29" xr:uid="{E612D347-3C05-49B0-803D-F884D38619E2}"/>
    <hyperlink ref="J38" r:id="rId30" xr:uid="{280B7563-13AE-4294-B445-CD35CE621426}"/>
    <hyperlink ref="J20" r:id="rId31" xr:uid="{2061E0B2-4560-47FE-972D-C98B152AB313}"/>
    <hyperlink ref="J36" r:id="rId32" xr:uid="{2DC0683A-A7FD-43D0-A1DB-3BD274DC83D7}"/>
    <hyperlink ref="J34" r:id="rId33" xr:uid="{AE26FA90-9C07-4DA0-97C5-C40371F5EC33}"/>
    <hyperlink ref="J18" r:id="rId34" xr:uid="{6C6756B8-C863-42B2-8FD1-EF7954474CA0}"/>
    <hyperlink ref="J35" r:id="rId35" xr:uid="{A1D84090-3B71-4422-AA39-B046DCA8FA43}"/>
    <hyperlink ref="J37" r:id="rId36" xr:uid="{2305397A-6ADB-4BD3-ADD7-81DD8AEAB5AD}"/>
    <hyperlink ref="J22" r:id="rId37" xr:uid="{B3B8C49B-3EAA-42C0-8445-4AB022A11F9E}"/>
    <hyperlink ref="J19" r:id="rId38" xr:uid="{59FC94FF-1665-4024-9FA0-04AEA50BAD20}"/>
    <hyperlink ref="J45" r:id="rId39" xr:uid="{CCF9B60E-5D77-4AB3-8923-6C95529535DD}"/>
    <hyperlink ref="J27" r:id="rId40" xr:uid="{EB92A942-DD5B-44CF-B9D5-33527CA97F08}"/>
    <hyperlink ref="J11" r:id="rId41" xr:uid="{CB6918B1-24B3-459F-A52D-239501B4C973}"/>
    <hyperlink ref="J26" r:id="rId42" xr:uid="{84FB697E-ED96-4D1B-B2AD-640F3AD6425A}"/>
    <hyperlink ref="J29" r:id="rId43" xr:uid="{EE005E98-9A9A-4B71-857B-942C1503516F}"/>
    <hyperlink ref="J48" r:id="rId44" xr:uid="{2E7BA1C6-69BC-424F-B1D3-A6211857A916}"/>
    <hyperlink ref="J50" r:id="rId45" display="https://www.amazon.it/Batteria-EEMB-polimeri-ricaricabile-connettore/dp/B09DPPP8ZV/ref=sr_1_11?__mk_it_IT=%C3%85M%C3%85%C5%BD%C3%95%C3%91&amp;crid=BTKSND93YG9Q&amp;dib=eyJ2IjoiMSJ9.sRRTZvr39t2NNTQ1YnN0rSiE6M0fA46vgYBigmAU3bVCy5IlkRVICzqfRLd_o3V6eSVFRn7VRpD3YF8sN5V9DamrMhEOEVM0AUcxF4hv950xonvS5eFAGfQE7qu5zb4prVc43Lw0Tb_o5rCV4qEZ7haGQtYwJ2KSmSGfm34di3pyAKGqU4tqOFX6qSZ1GAfk7JBre_XZvc7fWp-IMEV8mHt36lN5UrjYLH3lX3ce9kM0fHk1eue7nPbFpppkDBiCw-i0hEFAXiypeZEko-gve73jyxvA97kxYEpXq08Vd9Y.0oQ42BfLOY6FT72JmGYCppvn7gCYxSFdJAbgnjPv-2w&amp;dib_tag=se&amp;keywords=LiPo+battery+34mm+by+22mm&amp;qid=1748523183&amp;sprefix=lipo+battery+34mm+by+22mm%2Caps%2C155&amp;sr=8-11" xr:uid="{5AA054F0-D0BD-4E85-B617-8DE03826D268}"/>
  </hyperlinks>
  <pageMargins left="0.7" right="0.7" top="0.75" bottom="0.75" header="0.3" footer="0.3"/>
  <headerFooter>
    <oddHeader>&amp;L&amp;"Calibri"&amp;8&amp;K000000 INTERNAL&amp;1#_x000D_</oddHeader>
  </headerFooter>
  <legacyDrawing r:id="rId4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bfae70fc9cdb4e24b2d1d6faa181c103 xmlns="89f4a252-37c7-4691-ac7a-f1bddf6ccdd6">
      <Terms xmlns="http://schemas.microsoft.com/office/infopath/2007/PartnerControls"/>
    </bfae70fc9cdb4e24b2d1d6faa181c103>
    <IconOverlay xmlns="http://schemas.microsoft.com/sharepoint/v4" xsi:nil="true"/>
    <_ip_UnifiedCompliancePolicyProperties xmlns="http://schemas.microsoft.com/sharepoint/v3" xsi:nil="true"/>
    <TaxCatchAll xmlns="89f4a252-37c7-4691-ac7a-f1bddf6ccdd6">
      <Value>33</Value>
    </TaxCatchAll>
    <lcf76f155ced4ddcb4097134ff3c332f xmlns="88afa55b-2b2c-4d31-9083-56a07084abcc">
      <Terms xmlns="http://schemas.microsoft.com/office/infopath/2007/PartnerControls"/>
    </lcf76f155ced4ddcb4097134ff3c332f>
    <RevIMDocumentOwner xmlns="89f4a252-37c7-4691-ac7a-f1bddf6ccdd6">
      <UserInfo>
        <DisplayName/>
        <AccountId xsi:nil="true"/>
        <AccountType/>
      </UserInfo>
    </RevIMDocumentOwner>
    <i0f84bba906045b4af568ee102a52dcb xmlns="89f4a252-37c7-4691-ac7a-f1bddf6ccdd6">
      <Terms xmlns="http://schemas.microsoft.com/office/infopath/2007/PartnerControls">
        <TermInfo xmlns="http://schemas.microsoft.com/office/infopath/2007/PartnerControls">
          <TermName xmlns="http://schemas.microsoft.com/office/infopath/2007/PartnerControls">5.2 Car Development findings</TermName>
          <TermId xmlns="http://schemas.microsoft.com/office/infopath/2007/PartnerControls">35ca5892-0995-47ba-8421-f13a707bb03a</TermId>
        </TermInfo>
      </Terms>
    </i0f84bba906045b4af568ee102a52dcb>
    <RevIMComments xmlns="89f4a252-37c7-4691-ac7a-f1bddf6ccdd6" xsi:nil="true"/>
    <RevIMDeletionDate xmlns="89f4a252-37c7-4691-ac7a-f1bddf6ccdd6">2035-05-30T10:04:19+00:00</RevIMDeletionDate>
    <RevIMEventDate xmlns="89f4a252-37c7-4691-ac7a-f1bddf6ccdd6" xsi:nil="true"/>
    <RevIMExtends xmlns="89f4a252-37c7-4691-ac7a-f1bddf6ccdd6">{"Locked":null,"LockedBy":null,"UnLocked":null,"UnLockedBy":null,"Classified":"2025-05-30T10:05:01.750Z","KSUClass":"35ca5892-0995-47ba-8421-f13a707bb03a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9FDEF1DDEB24B8CC424658915DB1C" ma:contentTypeVersion="29" ma:contentTypeDescription="Create a new document." ma:contentTypeScope="" ma:versionID="c8898960f371e5f22345aa409d5aa103">
  <xsd:schema xmlns:xsd="http://www.w3.org/2001/XMLSchema" xmlns:xs="http://www.w3.org/2001/XMLSchema" xmlns:p="http://schemas.microsoft.com/office/2006/metadata/properties" xmlns:ns1="http://schemas.microsoft.com/sharepoint/v3" xmlns:ns2="88afa55b-2b2c-4d31-9083-56a07084abcc" xmlns:ns3="89f4a252-37c7-4691-ac7a-f1bddf6ccdd6" xmlns:ns4="http://schemas.microsoft.com/sharepoint/v4" targetNamespace="http://schemas.microsoft.com/office/2006/metadata/properties" ma:root="true" ma:fieldsID="4f9f0ab1a36016f16f79246c967804c2" ns1:_="" ns2:_="" ns3:_="" ns4:_="">
    <xsd:import namespace="http://schemas.microsoft.com/sharepoint/v3"/>
    <xsd:import namespace="88afa55b-2b2c-4d31-9083-56a07084abcc"/>
    <xsd:import namespace="89f4a252-37c7-4691-ac7a-f1bddf6ccdd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bfae70fc9cdb4e24b2d1d6faa181c103" minOccurs="0"/>
                <xsd:element ref="ns3:TaxCatchAll" minOccurs="0"/>
                <xsd:element ref="ns3:TaxCatchAllLabel" minOccurs="0"/>
                <xsd:element ref="ns3:i0f84bba906045b4af568ee102a52dcb" minOccurs="0"/>
                <xsd:element ref="ns3:RevIMDeletionDate" minOccurs="0"/>
                <xsd:element ref="ns3:RevIMEventDate" minOccurs="0"/>
                <xsd:element ref="ns3:RevIMComments" minOccurs="0"/>
                <xsd:element ref="ns3:RevIMDocumentOwner" minOccurs="0"/>
                <xsd:element ref="ns3:RevIMExte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>
      <xsd:simpleType>
        <xsd:restriction base="dms:Text"/>
      </xsd:simpleType>
    </xsd:element>
    <xsd:element name="_vti_ItemDeclaredRecord" ma:index="39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40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fa55b-2b2c-4d31-9083-56a07084ab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4a252-37c7-4691-ac7a-f1bddf6ccdd6" elementFormDefault="qualified">
    <xsd:import namespace="http://schemas.microsoft.com/office/2006/documentManagement/types"/>
    <xsd:import namespace="http://schemas.microsoft.com/office/infopath/2007/PartnerControls"/>
    <xsd:element name="bfae70fc9cdb4e24b2d1d6faa181c103" ma:index="10" nillable="true" ma:taxonomy="true" ma:internalName="bfae70fc9cdb4e24b2d1d6faa181c103" ma:taxonomyFieldName="LegalHoldTag" ma:displayName="LegalHold" ma:fieldId="{bfae70fc-9cdb-4e24-b2d1-d6faa181c103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ab36d990-6e43-4f98-812d-abf4b102db70}" ma:internalName="TaxCatchAll" ma:showField="CatchAllData" ma:web="89f4a252-37c7-4691-ac7a-f1bddf6cc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ab36d990-6e43-4f98-812d-abf4b102db70}" ma:internalName="TaxCatchAllLabel" ma:readOnly="true" ma:showField="CatchAllDataLabel" ma:web="89f4a252-37c7-4691-ac7a-f1bddf6cc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5" nillable="true" ma:taxonomy="true" ma:internalName="i0f84bba906045b4af568ee102a52dcb" ma:taxonomyFieldName="RevIMBCS" ma:displayName="CSD Class" ma:indexed="true" ma:readOnly="true" ma:default="33;#5.2 Car Development findings|35ca5892-0995-47ba-8421-f13a707bb03a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6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7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8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9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0" nillable="true" ma:displayName="RevIMExtends" ma:hidden="true" ma:internalName="RevIMExtends" ma:readOnly="true">
      <xsd:simpleType>
        <xsd:restriction base="dms:Not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478CC13-EB14-4671-8D89-B8BB21668498}"/>
</file>

<file path=customXml/itemProps2.xml><?xml version="1.0" encoding="utf-8"?>
<ds:datastoreItem xmlns:ds="http://schemas.openxmlformats.org/officeDocument/2006/customXml" ds:itemID="{1EF95A59-E5EE-43EB-9BAF-90CCF69F1EC5}"/>
</file>

<file path=customXml/itemProps3.xml><?xml version="1.0" encoding="utf-8"?>
<ds:datastoreItem xmlns:ds="http://schemas.openxmlformats.org/officeDocument/2006/customXml" ds:itemID="{3E99027E-C62D-4EA1-BBB5-5ED774BE6DDA}"/>
</file>

<file path=customXml/itemProps4.xml><?xml version="1.0" encoding="utf-8"?>
<ds:datastoreItem xmlns:ds="http://schemas.openxmlformats.org/officeDocument/2006/customXml" ds:itemID="{E38F5AAF-F7F0-448D-9BB5-0B9D1569AB8E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Norocea, Andrei (IG/EE-2, extern)</dc:creator>
  <cp:keywords/>
  <dc:description/>
  <cp:lastModifiedBy>Cascella, Sara (IG/EE-2)</cp:lastModifiedBy>
  <cp:revision/>
  <dcterms:created xsi:type="dcterms:W3CDTF">2015-06-05T18:19:34Z</dcterms:created>
  <dcterms:modified xsi:type="dcterms:W3CDTF">2025-05-30T13:20:59Z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0x0101001109FDEF1DDEB24B8CC424658915DB1C</vt:lpwstr>
  </property>
  <property fmtid="{D5CDD505-2E9C-101B-9397-08002B2CF9AE}" pid="3" name="MediaServiceImageTags">
    <vt:lpwstr/>
  </property>
  <property fmtid="{D5CDD505-2E9C-101B-9397-08002B2CF9AE}" pid="4" name="RevIMBCS">
    <vt:lpwstr>33;#5.2 Car Development findings|35ca5892-0995-47ba-8421-f13a707bb03a</vt:lpwstr>
  </property>
  <property fmtid="{D5CDD505-2E9C-101B-9397-08002B2CF9AE}" pid="5" name="LegalHoldTag">
    <vt:lpwstr/>
  </property>
</Properties>
</file>