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e\Documents\13 Progetti\sprinkler\01_Hardware\"/>
    </mc:Choice>
  </mc:AlternateContent>
  <xr:revisionPtr revIDLastSave="0" documentId="13_ncr:1_{135C6BCE-4067-42A0-96F7-3A23EF06177C}" xr6:coauthVersionLast="47" xr6:coauthVersionMax="47" xr10:uidLastSave="{00000000-0000-0000-0000-000000000000}"/>
  <bookViews>
    <workbookView xWindow="-108" yWindow="-108" windowWidth="23256" windowHeight="12456" xr2:uid="{FCA806DC-7999-4CF8-B790-91EF187A12CE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B11" i="1"/>
  <c r="E14" i="1" s="1"/>
  <c r="B9" i="1"/>
  <c r="C9" i="1"/>
  <c r="C8" i="1"/>
  <c r="B8" i="1"/>
  <c r="C7" i="1"/>
  <c r="B7" i="1"/>
  <c r="C2" i="1"/>
  <c r="B2" i="1"/>
  <c r="F14" i="1" l="1"/>
  <c r="I14" i="1" s="1"/>
  <c r="H14" i="1"/>
  <c r="E13" i="1"/>
  <c r="F13" i="1" l="1"/>
  <c r="I13" i="1" s="1"/>
  <c r="H13" i="1"/>
</calcChain>
</file>

<file path=xl/sharedStrings.xml><?xml version="1.0" encoding="utf-8"?>
<sst xmlns="http://schemas.openxmlformats.org/spreadsheetml/2006/main" count="18" uniqueCount="18">
  <si>
    <t>Component</t>
  </si>
  <si>
    <t>ESP32 WROM 32</t>
  </si>
  <si>
    <t>MAX Power consumption (W)</t>
  </si>
  <si>
    <t>Average Power consumption (W)</t>
  </si>
  <si>
    <t>Led Running - green</t>
  </si>
  <si>
    <t>Led WiFi - green</t>
  </si>
  <si>
    <t>Led Battery - green</t>
  </si>
  <si>
    <t>Water sensor</t>
  </si>
  <si>
    <t>Pump 1</t>
  </si>
  <si>
    <t>Total</t>
  </si>
  <si>
    <t>Battery</t>
  </si>
  <si>
    <t>mAh</t>
  </si>
  <si>
    <t>Wakeup time (min)</t>
  </si>
  <si>
    <t>Available min (with max power)</t>
  </si>
  <si>
    <t>Available min (with average power)</t>
  </si>
  <si>
    <t>Watering iterations (max W)</t>
  </si>
  <si>
    <t>Watering iteration (avg W)</t>
  </si>
  <si>
    <t>Pump 2 (not add, one active at a time)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</si>
</sst>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0" fillId="0" borderId="0" xfId="0" applyNumberFormat="1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6D1B3-AED7-4324-A811-BA632A2F99DA}">
  <dimension ref="A1:I14"/>
  <sheetViews>
    <sheetView tabSelected="1" workbookViewId="0">
      <selection activeCell="I14" sqref="A1:I14"/>
    </sheetView>
  </sheetViews>
  <sheetFormatPr defaultRowHeight="14.4" x14ac:dyDescent="0.3"/>
  <cols>
    <col min="1" max="1" width="33.88671875" bestFit="1" customWidth="1"/>
    <col min="2" max="2" width="26.33203125" customWidth="1"/>
    <col min="3" max="3" width="28.77734375" customWidth="1"/>
    <col min="4" max="4" width="20.88671875" customWidth="1"/>
    <col min="5" max="5" width="28.33203125" bestFit="1" customWidth="1"/>
    <col min="6" max="6" width="31.5546875" bestFit="1" customWidth="1"/>
    <col min="7" max="7" width="18.33203125" customWidth="1"/>
    <col min="8" max="8" width="25.21875" bestFit="1" customWidth="1"/>
    <col min="9" max="9" width="23.44140625" bestFit="1" customWidth="1"/>
  </cols>
  <sheetData>
    <row r="1" spans="1:9" x14ac:dyDescent="0.3">
      <c r="A1" s="2" t="s">
        <v>0</v>
      </c>
      <c r="B1" s="2" t="s">
        <v>2</v>
      </c>
      <c r="C1" s="2" t="s">
        <v>3</v>
      </c>
      <c r="D1" s="2" t="s">
        <v>11</v>
      </c>
      <c r="E1" s="2" t="s">
        <v>13</v>
      </c>
      <c r="F1" s="2" t="s">
        <v>14</v>
      </c>
      <c r="G1" s="2" t="s">
        <v>12</v>
      </c>
      <c r="H1" s="2" t="s">
        <v>15</v>
      </c>
      <c r="I1" s="2" t="s">
        <v>16</v>
      </c>
    </row>
    <row r="2" spans="1:9" x14ac:dyDescent="0.3">
      <c r="A2" t="s">
        <v>1</v>
      </c>
      <c r="B2">
        <f>0.79*3.3</f>
        <v>2.6069999999999998</v>
      </c>
      <c r="C2">
        <f>3.3*0.08</f>
        <v>0.26400000000000001</v>
      </c>
    </row>
    <row r="3" spans="1:9" x14ac:dyDescent="0.3">
      <c r="A3" t="s">
        <v>4</v>
      </c>
      <c r="B3">
        <v>0.05</v>
      </c>
      <c r="C3">
        <v>0.04</v>
      </c>
    </row>
    <row r="4" spans="1:9" x14ac:dyDescent="0.3">
      <c r="A4" t="s">
        <v>5</v>
      </c>
      <c r="B4">
        <v>0.05</v>
      </c>
      <c r="C4">
        <v>0.04</v>
      </c>
    </row>
    <row r="5" spans="1:9" x14ac:dyDescent="0.3">
      <c r="A5" t="s">
        <v>6</v>
      </c>
      <c r="B5">
        <v>0.05</v>
      </c>
      <c r="C5">
        <v>0.04</v>
      </c>
    </row>
    <row r="7" spans="1:9" x14ac:dyDescent="0.3">
      <c r="A7" t="s">
        <v>7</v>
      </c>
      <c r="B7">
        <f>12*0.013</f>
        <v>0.156</v>
      </c>
      <c r="C7">
        <f>12*0.013</f>
        <v>0.156</v>
      </c>
    </row>
    <row r="8" spans="1:9" x14ac:dyDescent="0.3">
      <c r="A8" t="s">
        <v>8</v>
      </c>
      <c r="B8">
        <f>12*0.45</f>
        <v>5.4</v>
      </c>
      <c r="C8">
        <f>12*0.45</f>
        <v>5.4</v>
      </c>
    </row>
    <row r="9" spans="1:9" x14ac:dyDescent="0.3">
      <c r="A9" t="s">
        <v>17</v>
      </c>
      <c r="B9">
        <f>12*0.45</f>
        <v>5.4</v>
      </c>
      <c r="C9">
        <f>12*0.45</f>
        <v>5.4</v>
      </c>
    </row>
    <row r="11" spans="1:9" x14ac:dyDescent="0.3">
      <c r="A11" t="s">
        <v>9</v>
      </c>
      <c r="B11">
        <f>SUM(B2:B8)</f>
        <v>8.3129999999999988</v>
      </c>
      <c r="C11">
        <f>SUM(C2:C8)</f>
        <v>5.94</v>
      </c>
    </row>
    <row r="13" spans="1:9" x14ac:dyDescent="0.3">
      <c r="A13" t="s">
        <v>10</v>
      </c>
      <c r="D13">
        <v>3300</v>
      </c>
      <c r="E13" s="1">
        <f>((D13/1000)*60)/B11</f>
        <v>23.818116203536633</v>
      </c>
      <c r="F13" s="1">
        <f>E13*60/C11</f>
        <v>240.58703235895587</v>
      </c>
      <c r="G13">
        <v>15</v>
      </c>
      <c r="H13">
        <f>ROUND(E13/G13,1)</f>
        <v>1.6</v>
      </c>
      <c r="I13">
        <f>ROUND(F13/G13,1)</f>
        <v>16</v>
      </c>
    </row>
    <row r="14" spans="1:9" x14ac:dyDescent="0.3">
      <c r="D14">
        <v>10000</v>
      </c>
      <c r="E14" s="1">
        <f>((D14/1000)*60)/B11</f>
        <v>72.176109707686763</v>
      </c>
      <c r="F14" s="1">
        <f>E14*60/C11</f>
        <v>729.05161320895718</v>
      </c>
      <c r="G14">
        <v>15</v>
      </c>
      <c r="H14">
        <f>ROUND(E14/G14,1)</f>
        <v>4.8</v>
      </c>
      <c r="I14">
        <f>ROUND(F14/G14,1)</f>
        <v>48.6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Marcello Sgarbi</dc:creator>
  <cp:lastModifiedBy>Marcello Sgarbi</cp:lastModifiedBy>
  <dcterms:created xsi:type="dcterms:W3CDTF">2025-03-27T17:31:18Z</dcterms:created>
  <dcterms:modified xsi:type="dcterms:W3CDTF">2025-03-27T18:03:04Z</dcterms:modified>
</cp:coreProperties>
</file>